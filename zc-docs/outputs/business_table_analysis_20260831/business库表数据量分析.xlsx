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e6c196611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ec7cd6cc4d294db7"/>
    <x:sheet xmlns:r="http://schemas.openxmlformats.org/officeDocument/2006/relationships" name="明细" sheetId="2" r:id="Rd34c59756aca44f9"/>
    <x:sheet xmlns:r="http://schemas.openxmlformats.org/officeDocument/2006/relationships" name="大小表清单" sheetId="3" r:id="R9abf83ea51bf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#,##0.00"/>
    <x:numFmt numFmtId="202" formatCode="#,##0.000"/>
    <x:numFmt numFmtId="203" formatCode="0.00%"/>
    <x:numFmt numFmtId="204" formatCode="0.00"/>
    <x:numFmt numFmtId="205" formatCode="0.0%"/>
    <x:numFmt numFmtId="206" formatCode="0"/>
    <x:numFmt numFmtId="207" formatCode="0.00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color rgb="FF667085"/>
      <x:name val="Carlito"/>
    </x:font>
    <x:font>
      <x:b/>
      <x:sz val="20"/>
      <x:color rgb="FF17365D"/>
      <x:name val="Carlito"/>
    </x:font>
    <x:font>
      <x:b/>
      <x:sz val="12"/>
      <x:color rgb="FF17365D"/>
      <x:name val="Carlito"/>
    </x:font>
    <x:font>
      <x:b/>
      <x:sz val="11"/>
      <x:name val="Carlito"/>
    </x:font>
    <x:font>
      <x:sz val="11"/>
      <x:color rgb="FF34405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2F4F7"/>
      </x:patternFill>
    </x:fill>
    <x:fill>
      <x:patternFill patternType="solid">
        <x:fgColor rgb="FFFFFFFF"/>
      </x:patternFill>
    </x:fill>
  </x:fills>
  <x:borders count="18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FD6DE"/>
      </x:left>
      <x:top style="thin">
        <x:color rgb="FFCFD6DE"/>
      </x:top>
    </x:border>
    <x:border>
      <x:top style="thin">
        <x:color rgb="FFCFD6DE"/>
      </x:top>
    </x:border>
    <x:border>
      <x:right style="thin">
        <x:color rgb="FFCFD6DE"/>
      </x:right>
      <x:top style="thin">
        <x:color rgb="FFCFD6DE"/>
      </x:top>
    </x:border>
    <x:border>
      <x:left style="thin">
        <x:color rgb="FFCFD6DE"/>
      </x:left>
    </x:border>
    <x:border>
      <x:right style="thin">
        <x:color rgb="FFCFD6DE"/>
      </x:right>
    </x:border>
    <x:border>
      <x:left style="thin">
        <x:color rgb="FFCFD6DE"/>
      </x:left>
      <x:bottom style="thin">
        <x:color rgb="FFCFD6DE"/>
      </x:bottom>
    </x:border>
    <x:border>
      <x:bottom style="thin">
        <x:color rgb="FFCFD6DE"/>
      </x:bottom>
    </x:border>
    <x:border>
      <x:right style="thin">
        <x:color rgb="FFCFD6DE"/>
      </x:right>
      <x:bottom style="thin">
        <x:color rgb="FFCFD6DE"/>
      </x:bottom>
    </x:border>
    <x:border>
      <x:left style="thin">
        <x:color rgb="FFCFD6DE"/>
      </x:left>
      <x:top style="thin">
        <x:color rgb="FFCFD6DE"/>
      </x:top>
      <x:bottom style="thin">
        <x:color rgb="FFCFD6DE"/>
      </x:bottom>
    </x:border>
    <x:border>
      <x:top style="thin">
        <x:color rgb="FFCFD6DE"/>
      </x:top>
      <x:bottom style="thin">
        <x:color rgb="FFCFD6DE"/>
      </x:bottom>
    </x:border>
    <x:border>
      <x:right style="thin">
        <x:color rgb="FFCFD6DE"/>
      </x:right>
      <x:top style="thin">
        <x:color rgb="FFCFD6DE"/>
      </x:top>
      <x:bottom style="thin">
        <x:color rgb="FFCFD6DE"/>
      </x:bottom>
    </x:border>
  </x:borders>
  <x:cellStyleXfs count="1">
    <x:xf numFmtId="0" fontId="0" fillId="0" borderId="0"/>
  </x:cellStyleXfs>
  <x:cellXfs count="2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6" xfId="0" applyNumberFormat="1" applyFont="1" applyFill="1" applyBorder="1" applyAlignment="1">
      <x:alignment horizontal="right" vertical="center"/>
    </x:xf>
    <x:xf numFmtId="200" fontId="4" fillId="0" borderId="4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200" fontId="4" fillId="0" borderId="6" xfId="0" applyNumberFormat="1" applyFont="1" applyFill="1" applyBorder="1" applyAlignment="1">
      <x:alignment horizontal="right" vertical="center"/>
    </x:xf>
    <x:xf numFmtId="201" fontId="4" fillId="0" borderId="4" xfId="0" applyNumberFormat="1" applyFont="1" applyFill="1" applyBorder="1" applyAlignment="1">
      <x:alignment horizontal="right" vertical="center"/>
    </x:xf>
    <x:xf numFmtId="201" fontId="4" fillId="0" borderId="5" xfId="0" applyNumberFormat="1" applyFont="1" applyFill="1" applyBorder="1" applyAlignment="1">
      <x:alignment horizontal="right" vertical="center"/>
    </x:xf>
    <x:xf numFmtId="201" fontId="4" fillId="0" borderId="6" xfId="0" applyNumberFormat="1" applyFont="1" applyFill="1" applyBorder="1" applyAlignment="1">
      <x:alignment horizontal="right" vertical="center"/>
    </x:xf>
    <x:xf numFmtId="202" fontId="4" fillId="0" borderId="4" xfId="0" applyNumberFormat="1" applyFont="1" applyFill="1" applyBorder="1" applyAlignment="1">
      <x:alignment horizontal="right" vertical="center"/>
    </x:xf>
    <x:xf numFmtId="202" fontId="4" fillId="0" borderId="5" xfId="0" applyNumberFormat="1" applyFont="1" applyFill="1" applyBorder="1" applyAlignment="1">
      <x:alignment horizontal="right" vertical="center"/>
    </x:xf>
    <x:xf numFmtId="202" fontId="4" fillId="0" borderId="6" xfId="0" applyNumberFormat="1" applyFont="1" applyFill="1" applyBorder="1" applyAlignment="1">
      <x:alignment horizontal="right" vertical="center"/>
    </x:xf>
    <x:xf numFmtId="203" fontId="4" fillId="0" borderId="4" xfId="0" applyNumberFormat="1" applyFont="1" applyFill="1" applyBorder="1" applyAlignment="1">
      <x:alignment horizontal="right" vertical="center"/>
    </x:xf>
    <x:xf numFmtId="203" fontId="4" fillId="0" borderId="5" xfId="0" applyNumberFormat="1" applyFont="1" applyFill="1" applyBorder="1" applyAlignment="1">
      <x:alignment horizontal="right" vertical="center"/>
    </x:xf>
    <x:xf numFmtId="203" fontId="4" fillId="0" borderId="6" xfId="0" applyNumberFormat="1" applyFont="1" applyFill="1" applyBorder="1" applyAlignment="1">
      <x:alignment horizontal="right" vertical="center"/>
    </x:xf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0" fillId="3" borderId="7" xfId="0" applyNumberFormat="1" applyFont="1" applyFill="1" applyBorder="1" applyAlignment="1">
      <x:alignment horizontal="center"/>
    </x:xf>
    <x:xf numFmtId="0" fontId="0" fillId="3" borderId="8" xfId="0" applyNumberFormat="1" applyFont="1" applyFill="1" applyBorder="1" applyAlignment="1">
      <x:alignment horizontal="center"/>
    </x:xf>
    <x:xf numFmtId="0" fontId="0" fillId="3" borderId="9" xfId="0" applyNumberFormat="1" applyFont="1" applyFill="1" applyBorder="1" applyAlignment="1">
      <x:alignment horizontal="center"/>
    </x:xf>
    <x:xf numFmtId="0" fontId="0" fillId="3" borderId="1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/>
    </x:xf>
    <x:xf numFmtId="0" fontId="0" fillId="3" borderId="11" xfId="0" applyNumberFormat="1" applyFont="1" applyFill="1" applyBorder="1" applyAlignment="1">
      <x:alignment horizontal="center"/>
    </x:xf>
    <x:xf numFmtId="0" fontId="0" fillId="3" borderId="12" xfId="0" applyNumberFormat="1" applyFont="1" applyFill="1" applyBorder="1" applyAlignment="1">
      <x:alignment horizontal="center"/>
    </x:xf>
    <x:xf numFmtId="0" fontId="0" fillId="3" borderId="13" xfId="0" applyNumberFormat="1" applyFont="1" applyFill="1" applyBorder="1" applyAlignment="1">
      <x:alignment horizontal="center"/>
    </x:xf>
    <x:xf numFmtId="0" fontId="0" fillId="3" borderId="14" xfId="0" applyNumberFormat="1" applyFont="1" applyFill="1" applyBorder="1" applyAlignment="1">
      <x:alignment horizontal="center"/>
    </x:xf>
    <x:xf numFmtId="0" fontId="0" fillId="3" borderId="7" xfId="0" applyNumberFormat="1" applyFont="1" applyFill="1" applyBorder="1" applyAlignment="1">
      <x:alignment horizontal="center" vertical="center"/>
    </x:xf>
    <x:xf numFmtId="0" fontId="0" fillId="3" borderId="8" xfId="0" applyNumberFormat="1" applyFont="1" applyFill="1" applyBorder="1" applyAlignment="1">
      <x:alignment horizontal="center" vertical="center"/>
    </x:xf>
    <x:xf numFmtId="0" fontId="0" fillId="3" borderId="9" xfId="0" applyNumberFormat="1" applyFont="1" applyFill="1" applyBorder="1" applyAlignment="1">
      <x:alignment horizontal="center" vertical="center"/>
    </x:xf>
    <x:xf numFmtId="0" fontId="0" fillId="3" borderId="1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0" fillId="3" borderId="11" xfId="0" applyNumberFormat="1" applyFont="1" applyFill="1" applyBorder="1" applyAlignment="1">
      <x:alignment horizontal="center" vertical="center"/>
    </x:xf>
    <x:xf numFmtId="0" fontId="0" fillId="3" borderId="12" xfId="0" applyNumberFormat="1" applyFont="1" applyFill="1" applyBorder="1" applyAlignment="1">
      <x:alignment horizontal="center" vertical="center"/>
    </x:xf>
    <x:xf numFmtId="0" fontId="0" fillId="3" borderId="13" xfId="0" applyNumberFormat="1" applyFont="1" applyFill="1" applyBorder="1" applyAlignment="1">
      <x:alignment horizontal="center" vertical="center"/>
    </x:xf>
    <x:xf numFmtId="0" fontId="0" fillId="3" borderId="14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 applyAlignment="1">
      <x:alignment horizontal="center" vertical="center"/>
    </x:xf>
    <x:xf numFmtId="0" fontId="5" fillId="3" borderId="8" xfId="0" applyNumberFormat="1" applyFont="1" applyFill="1" applyBorder="1" applyAlignment="1">
      <x:alignment horizontal="center" vertical="center"/>
    </x:xf>
    <x:xf numFmtId="0" fontId="5" fillId="3" borderId="9" xfId="0" applyNumberFormat="1" applyFont="1" applyFill="1" applyBorder="1" applyAlignment="1">
      <x:alignment horizontal="center" vertical="center"/>
    </x:xf>
    <x:xf numFmtId="0" fontId="6" fillId="3" borderId="1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1" xfId="0" applyNumberFormat="1" applyFont="1" applyFill="1" applyBorder="1" applyAlignment="1">
      <x:alignment horizontal="center" vertical="center"/>
    </x:xf>
    <x:xf numFmtId="0" fontId="6" fillId="3" borderId="12" xfId="0" applyNumberFormat="1" applyFont="1" applyFill="1" applyBorder="1" applyAlignment="1">
      <x:alignment horizontal="center" vertical="center"/>
    </x:xf>
    <x:xf numFmtId="0" fontId="6" fillId="3" borderId="13" xfId="0" applyNumberFormat="1" applyFont="1" applyFill="1" applyBorder="1" applyAlignment="1">
      <x:alignment horizontal="center" vertical="center"/>
    </x:xf>
    <x:xf numFmtId="0" fontId="6" fillId="3" borderId="1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7" xfId="0" applyNumberFormat="1" applyFont="1" applyFill="1" applyBorder="1" applyAlignment="1">
      <x:alignment horizontal="center"/>
    </x:xf>
    <x:xf numFmtId="0" fontId="0" fillId="4" borderId="8" xfId="0" applyNumberFormat="1" applyFont="1" applyFill="1" applyBorder="1" applyAlignment="1">
      <x:alignment horizontal="center"/>
    </x:xf>
    <x:xf numFmtId="0" fontId="0" fillId="4" borderId="9" xfId="0" applyNumberFormat="1" applyFont="1" applyFill="1" applyBorder="1" applyAlignment="1">
      <x:alignment horizontal="center"/>
    </x:xf>
    <x:xf numFmtId="0" fontId="0" fillId="4" borderId="1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0" fontId="0" fillId="4" borderId="11" xfId="0" applyNumberFormat="1" applyFont="1" applyFill="1" applyBorder="1" applyAlignment="1">
      <x:alignment horizontal="center"/>
    </x:xf>
    <x:xf numFmtId="0" fontId="0" fillId="4" borderId="12" xfId="0" applyNumberFormat="1" applyFont="1" applyFill="1" applyBorder="1" applyAlignment="1">
      <x:alignment horizontal="center"/>
    </x:xf>
    <x:xf numFmtId="0" fontId="0" fillId="4" borderId="13" xfId="0" applyNumberFormat="1" applyFont="1" applyFill="1" applyBorder="1" applyAlignment="1">
      <x:alignment horizontal="center"/>
    </x:xf>
    <x:xf numFmtId="0" fontId="0" fillId="4" borderId="14" xfId="0" applyNumberFormat="1" applyFont="1" applyFill="1" applyBorder="1" applyAlignment="1">
      <x:alignment horizontal="center"/>
    </x:xf>
    <x:xf numFmtId="0" fontId="0" fillId="4" borderId="7" xfId="0" applyNumberFormat="1" applyFont="1" applyFill="1" applyBorder="1" applyAlignment="1">
      <x:alignment horizontal="center" vertical="center"/>
    </x:xf>
    <x:xf numFmtId="0" fontId="0" fillId="4" borderId="8" xfId="0" applyNumberFormat="1" applyFont="1" applyFill="1" applyBorder="1" applyAlignment="1">
      <x:alignment horizontal="center" vertical="center"/>
    </x:xf>
    <x:xf numFmtId="0" fontId="0" fillId="4" borderId="9" xfId="0" applyNumberFormat="1" applyFont="1" applyFill="1" applyBorder="1" applyAlignment="1">
      <x:alignment horizontal="center" vertical="center"/>
    </x:xf>
    <x:xf numFmtId="0" fontId="0" fillId="4" borderId="1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4" borderId="11" xfId="0" applyNumberFormat="1" applyFont="1" applyFill="1" applyBorder="1" applyAlignment="1">
      <x:alignment horizontal="center" vertical="center"/>
    </x:xf>
    <x:xf numFmtId="0" fontId="0" fillId="4" borderId="12" xfId="0" applyNumberFormat="1" applyFont="1" applyFill="1" applyBorder="1" applyAlignment="1">
      <x:alignment horizontal="center" vertical="center"/>
    </x:xf>
    <x:xf numFmtId="0" fontId="0" fillId="4" borderId="13" xfId="0" applyNumberFormat="1" applyFont="1" applyFill="1" applyBorder="1" applyAlignment="1">
      <x:alignment horizontal="center" vertical="center"/>
    </x:xf>
    <x:xf numFmtId="0" fontId="0" fillId="4" borderId="14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horizontal="center" vertical="center"/>
    </x:xf>
    <x:xf numFmtId="0" fontId="5" fillId="4" borderId="8" xfId="0" applyNumberFormat="1" applyFont="1" applyFill="1" applyBorder="1" applyAlignment="1">
      <x:alignment horizontal="center" vertical="center"/>
    </x:xf>
    <x:xf numFmtId="0" fontId="5" fillId="4" borderId="9" xfId="0" applyNumberFormat="1" applyFont="1" applyFill="1" applyBorder="1" applyAlignment="1">
      <x:alignment horizontal="center" vertical="center"/>
    </x:xf>
    <x:xf numFmtId="0" fontId="6" fillId="4" borderId="1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11" xfId="0" applyNumberFormat="1" applyFont="1" applyFill="1" applyBorder="1" applyAlignment="1">
      <x:alignment horizontal="center" vertical="center"/>
    </x:xf>
    <x:xf numFmtId="0" fontId="6" fillId="4" borderId="12" xfId="0" applyNumberFormat="1" applyFont="1" applyFill="1" applyBorder="1" applyAlignment="1">
      <x:alignment horizontal="center" vertical="center"/>
    </x:xf>
    <x:xf numFmtId="0" fontId="6" fillId="4" borderId="13" xfId="0" applyNumberFormat="1" applyFont="1" applyFill="1" applyBorder="1" applyAlignment="1">
      <x:alignment horizontal="center" vertical="center"/>
    </x:xf>
    <x:xf numFmtId="0" fontId="6" fillId="4" borderId="1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7" xfId="0" applyNumberFormat="1" applyFont="1" applyFill="1" applyBorder="1" applyAlignment="1">
      <x:alignment horizontal="center"/>
    </x:xf>
    <x:xf numFmtId="0" fontId="0" fillId="5" borderId="8" xfId="0" applyNumberFormat="1" applyFont="1" applyFill="1" applyBorder="1" applyAlignment="1">
      <x:alignment horizontal="center"/>
    </x:xf>
    <x:xf numFmtId="0" fontId="0" fillId="5" borderId="9" xfId="0" applyNumberFormat="1" applyFont="1" applyFill="1" applyBorder="1" applyAlignment="1">
      <x:alignment horizontal="center"/>
    </x:xf>
    <x:xf numFmtId="0" fontId="0" fillId="5" borderId="1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0" fillId="5" borderId="11" xfId="0" applyNumberFormat="1" applyFont="1" applyFill="1" applyBorder="1" applyAlignment="1">
      <x:alignment horizontal="center"/>
    </x:xf>
    <x:xf numFmtId="0" fontId="0" fillId="5" borderId="12" xfId="0" applyNumberFormat="1" applyFont="1" applyFill="1" applyBorder="1" applyAlignment="1">
      <x:alignment horizontal="center"/>
    </x:xf>
    <x:xf numFmtId="0" fontId="0" fillId="5" borderId="13" xfId="0" applyNumberFormat="1" applyFont="1" applyFill="1" applyBorder="1" applyAlignment="1">
      <x:alignment horizontal="center"/>
    </x:xf>
    <x:xf numFmtId="0" fontId="0" fillId="5" borderId="14" xfId="0" applyNumberFormat="1" applyFont="1" applyFill="1" applyBorder="1" applyAlignment="1">
      <x:alignment horizontal="center"/>
    </x:xf>
    <x:xf numFmtId="0" fontId="0" fillId="5" borderId="7" xfId="0" applyNumberFormat="1" applyFont="1" applyFill="1" applyBorder="1" applyAlignment="1">
      <x:alignment horizontal="center" vertical="center"/>
    </x:xf>
    <x:xf numFmtId="0" fontId="0" fillId="5" borderId="8" xfId="0" applyNumberFormat="1" applyFont="1" applyFill="1" applyBorder="1" applyAlignment="1">
      <x:alignment horizontal="center" vertical="center"/>
    </x:xf>
    <x:xf numFmtId="0" fontId="0" fillId="5" borderId="9" xfId="0" applyNumberFormat="1" applyFont="1" applyFill="1" applyBorder="1" applyAlignment="1">
      <x:alignment horizontal="center" vertical="center"/>
    </x:xf>
    <x:xf numFmtId="0" fontId="0" fillId="5" borderId="1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11" xfId="0" applyNumberFormat="1" applyFont="1" applyFill="1" applyBorder="1" applyAlignment="1">
      <x:alignment horizontal="center" vertical="center"/>
    </x:xf>
    <x:xf numFmtId="0" fontId="0" fillId="5" borderId="12" xfId="0" applyNumberFormat="1" applyFont="1" applyFill="1" applyBorder="1" applyAlignment="1">
      <x:alignment horizontal="center" vertical="center"/>
    </x:xf>
    <x:xf numFmtId="0" fontId="0" fillId="5" borderId="13" xfId="0" applyNumberFormat="1" applyFont="1" applyFill="1" applyBorder="1" applyAlignment="1">
      <x:alignment horizontal="center" vertical="center"/>
    </x:xf>
    <x:xf numFmtId="0" fontId="0" fillId="5" borderId="14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6" fillId="5" borderId="1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11" xfId="0" applyNumberFormat="1" applyFont="1" applyFill="1" applyBorder="1" applyAlignment="1">
      <x:alignment horizontal="center" vertical="center"/>
    </x:xf>
    <x:xf numFmtId="0" fontId="6" fillId="5" borderId="12" xfId="0" applyNumberFormat="1" applyFont="1" applyFill="1" applyBorder="1" applyAlignment="1">
      <x:alignment horizontal="center" vertical="center"/>
    </x:xf>
    <x:xf numFmtId="0" fontId="6" fillId="5" borderId="13" xfId="0" applyNumberFormat="1" applyFont="1" applyFill="1" applyBorder="1" applyAlignment="1">
      <x:alignment horizontal="center" vertical="center"/>
    </x:xf>
    <x:xf numFmtId="0" fontId="6" fillId="5" borderId="14" xfId="0" applyNumberFormat="1" applyFont="1" applyFill="1" applyBorder="1" applyAlignment="1">
      <x:alignment horizontal="center" vertical="center"/>
    </x:xf>
    <x:xf numFmtId="204" fontId="6" fillId="3" borderId="10" xfId="0" applyNumberFormat="1" applyFont="1" applyFill="1" applyBorder="1" applyAlignment="1">
      <x:alignment horizontal="center" vertical="center"/>
    </x:xf>
    <x:xf numFmtId="204" fontId="6" fillId="3" borderId="0" xfId="0" applyNumberFormat="1" applyFont="1" applyFill="1" applyBorder="1" applyAlignment="1">
      <x:alignment horizontal="center" vertical="center"/>
    </x:xf>
    <x:xf numFmtId="204" fontId="6" fillId="3" borderId="11" xfId="0" applyNumberFormat="1" applyFont="1" applyFill="1" applyBorder="1" applyAlignment="1">
      <x:alignment horizontal="center" vertical="center"/>
    </x:xf>
    <x:xf numFmtId="204" fontId="6" fillId="3" borderId="12" xfId="0" applyNumberFormat="1" applyFont="1" applyFill="1" applyBorder="1" applyAlignment="1">
      <x:alignment horizontal="center" vertical="center"/>
    </x:xf>
    <x:xf numFmtId="204" fontId="6" fillId="3" borderId="13" xfId="0" applyNumberFormat="1" applyFont="1" applyFill="1" applyBorder="1" applyAlignment="1">
      <x:alignment horizontal="center" vertical="center"/>
    </x:xf>
    <x:xf numFmtId="204" fontId="6" fillId="3" borderId="14" xfId="0" applyNumberFormat="1" applyFont="1" applyFill="1" applyBorder="1" applyAlignment="1">
      <x:alignment horizontal="center" vertical="center"/>
    </x:xf>
    <x:xf numFmtId="201" fontId="6" fillId="4" borderId="10" xfId="0" applyNumberFormat="1" applyFont="1" applyFill="1" applyBorder="1" applyAlignment="1">
      <x:alignment horizontal="center" vertical="center"/>
    </x:xf>
    <x:xf numFmtId="201" fontId="6" fillId="4" borderId="0" xfId="0" applyNumberFormat="1" applyFont="1" applyFill="1" applyBorder="1" applyAlignment="1">
      <x:alignment horizontal="center" vertical="center"/>
    </x:xf>
    <x:xf numFmtId="201" fontId="6" fillId="4" borderId="11" xfId="0" applyNumberFormat="1" applyFont="1" applyFill="1" applyBorder="1" applyAlignment="1">
      <x:alignment horizontal="center" vertical="center"/>
    </x:xf>
    <x:xf numFmtId="201" fontId="6" fillId="4" borderId="12" xfId="0" applyNumberFormat="1" applyFont="1" applyFill="1" applyBorder="1" applyAlignment="1">
      <x:alignment horizontal="center" vertical="center"/>
    </x:xf>
    <x:xf numFmtId="201" fontId="6" fillId="4" borderId="13" xfId="0" applyNumberFormat="1" applyFont="1" applyFill="1" applyBorder="1" applyAlignment="1">
      <x:alignment horizontal="center" vertical="center"/>
    </x:xf>
    <x:xf numFmtId="201" fontId="6" fillId="4" borderId="14" xfId="0" applyNumberFormat="1" applyFont="1" applyFill="1" applyBorder="1" applyAlignment="1">
      <x:alignment horizontal="center" vertical="center"/>
    </x:xf>
    <x:xf numFmtId="205" fontId="6" fillId="4" borderId="10" xfId="0" applyNumberFormat="1" applyFont="1" applyFill="1" applyBorder="1" applyAlignment="1">
      <x:alignment horizontal="center" vertical="center"/>
    </x:xf>
    <x:xf numFmtId="205" fontId="6" fillId="4" borderId="0" xfId="0" applyNumberFormat="1" applyFont="1" applyFill="1" applyBorder="1" applyAlignment="1">
      <x:alignment horizontal="center" vertical="center"/>
    </x:xf>
    <x:xf numFmtId="205" fontId="6" fillId="4" borderId="11" xfId="0" applyNumberFormat="1" applyFont="1" applyFill="1" applyBorder="1" applyAlignment="1">
      <x:alignment horizontal="center" vertical="center"/>
    </x:xf>
    <x:xf numFmtId="205" fontId="6" fillId="4" borderId="12" xfId="0" applyNumberFormat="1" applyFont="1" applyFill="1" applyBorder="1" applyAlignment="1">
      <x:alignment horizontal="center" vertical="center"/>
    </x:xf>
    <x:xf numFmtId="205" fontId="6" fillId="4" borderId="13" xfId="0" applyNumberFormat="1" applyFont="1" applyFill="1" applyBorder="1" applyAlignment="1">
      <x:alignment horizontal="center" vertical="center"/>
    </x:xf>
    <x:xf numFmtId="205" fontId="6" fillId="4" borderId="14" xfId="0" applyNumberFormat="1" applyFont="1" applyFill="1" applyBorder="1" applyAlignment="1">
      <x:alignment horizontal="center" vertical="center"/>
    </x:xf>
    <x:xf numFmtId="204" fontId="6" fillId="5" borderId="10" xfId="0" applyNumberFormat="1" applyFont="1" applyFill="1" applyBorder="1" applyAlignment="1">
      <x:alignment horizontal="center" vertical="center"/>
    </x:xf>
    <x:xf numFmtId="204" fontId="6" fillId="5" borderId="0" xfId="0" applyNumberFormat="1" applyFont="1" applyFill="1" applyBorder="1" applyAlignment="1">
      <x:alignment horizontal="center" vertical="center"/>
    </x:xf>
    <x:xf numFmtId="204" fontId="6" fillId="5" borderId="11" xfId="0" applyNumberFormat="1" applyFont="1" applyFill="1" applyBorder="1" applyAlignment="1">
      <x:alignment horizontal="center" vertical="center"/>
    </x:xf>
    <x:xf numFmtId="204" fontId="6" fillId="5" borderId="12" xfId="0" applyNumberFormat="1" applyFont="1" applyFill="1" applyBorder="1" applyAlignment="1">
      <x:alignment horizontal="center" vertical="center"/>
    </x:xf>
    <x:xf numFmtId="204" fontId="6" fillId="5" borderId="13" xfId="0" applyNumberFormat="1" applyFont="1" applyFill="1" applyBorder="1" applyAlignment="1">
      <x:alignment horizontal="center" vertical="center"/>
    </x:xf>
    <x:xf numFmtId="204" fontId="6" fillId="5" borderId="14" xfId="0" applyNumberFormat="1" applyFont="1" applyFill="1" applyBorder="1" applyAlignment="1">
      <x:alignment horizontal="center" vertical="center"/>
    </x:xf>
    <x:xf numFmtId="201" fontId="6" fillId="5" borderId="10" xfId="0" applyNumberFormat="1" applyFont="1" applyFill="1" applyBorder="1" applyAlignment="1">
      <x:alignment horizontal="center" vertical="center"/>
    </x:xf>
    <x:xf numFmtId="201" fontId="6" fillId="5" borderId="0" xfId="0" applyNumberFormat="1" applyFont="1" applyFill="1" applyBorder="1" applyAlignment="1">
      <x:alignment horizontal="center" vertical="center"/>
    </x:xf>
    <x:xf numFmtId="201" fontId="6" fillId="5" borderId="11" xfId="0" applyNumberFormat="1" applyFont="1" applyFill="1" applyBorder="1" applyAlignment="1">
      <x:alignment horizontal="center" vertical="center"/>
    </x:xf>
    <x:xf numFmtId="201" fontId="6" fillId="5" borderId="12" xfId="0" applyNumberFormat="1" applyFont="1" applyFill="1" applyBorder="1" applyAlignment="1">
      <x:alignment horizontal="center" vertical="center"/>
    </x:xf>
    <x:xf numFmtId="201" fontId="6" fillId="5" borderId="13" xfId="0" applyNumberFormat="1" applyFont="1" applyFill="1" applyBorder="1" applyAlignment="1">
      <x:alignment horizontal="center" vertical="center"/>
    </x:xf>
    <x:xf numFmtId="201" fontId="6" fillId="5" borderId="14" xfId="0" applyNumberFormat="1" applyFont="1" applyFill="1" applyBorder="1" applyAlignment="1">
      <x:alignment horizontal="center" vertical="center"/>
    </x:xf>
    <x:xf numFmtId="201" fontId="6" fillId="3" borderId="10" xfId="0" applyNumberFormat="1" applyFont="1" applyFill="1" applyBorder="1" applyAlignment="1">
      <x:alignment horizontal="center" vertical="center"/>
    </x:xf>
    <x:xf numFmtId="201" fontId="6" fillId="3" borderId="0" xfId="0" applyNumberFormat="1" applyFont="1" applyFill="1" applyBorder="1" applyAlignment="1">
      <x:alignment horizontal="center" vertical="center"/>
    </x:xf>
    <x:xf numFmtId="201" fontId="6" fillId="3" borderId="11" xfId="0" applyNumberFormat="1" applyFont="1" applyFill="1" applyBorder="1" applyAlignment="1">
      <x:alignment horizontal="center" vertical="center"/>
    </x:xf>
    <x:xf numFmtId="201" fontId="6" fillId="3" borderId="12" xfId="0" applyNumberFormat="1" applyFont="1" applyFill="1" applyBorder="1" applyAlignment="1">
      <x:alignment horizontal="center" vertical="center"/>
    </x:xf>
    <x:xf numFmtId="201" fontId="6" fillId="3" borderId="13" xfId="0" applyNumberFormat="1" applyFont="1" applyFill="1" applyBorder="1" applyAlignment="1">
      <x:alignment horizontal="center" vertical="center"/>
    </x:xf>
    <x:xf numFmtId="201" fontId="6" fillId="3" borderId="1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5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5" xfId="0" applyNumberFormat="1" applyFont="1" applyFill="1" applyBorder="1" applyAlignment="1">
      <x:alignment vertical="center"/>
    </x:xf>
    <x:xf numFmtId="0" fontId="7" fillId="6" borderId="16" xfId="0" applyNumberFormat="1" applyFont="1" applyFill="1" applyBorder="1" applyAlignment="1">
      <x:alignment vertical="center"/>
    </x:xf>
    <x:xf numFmtId="0" fontId="7" fillId="6" borderId="17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6" fontId="0" fillId="0" borderId="13" xfId="0" applyNumberFormat="1" applyFont="1" applyFill="1" applyBorder="1" applyAlignment="1">
      <x:alignment vertical="center"/>
    </x:xf>
    <x:xf numFmtId="206" fontId="0" fillId="0" borderId="16" xfId="0" applyNumberFormat="1" applyFont="1" applyFill="1" applyBorder="1" applyAlignment="1">
      <x:alignment vertical="center"/>
    </x:xf>
    <x:xf numFmtId="206" fontId="0" fillId="0" borderId="8" xfId="0" applyNumberFormat="1" applyFont="1" applyFill="1" applyBorder="1" applyAlignment="1">
      <x:alignment vertical="center"/>
    </x:xf>
    <x:xf numFmtId="202" fontId="0" fillId="0" borderId="13" xfId="0" applyNumberFormat="1" applyFont="1" applyFill="1" applyBorder="1" applyAlignment="1">
      <x:alignment vertical="center"/>
    </x:xf>
    <x:xf numFmtId="202" fontId="0" fillId="0" borderId="16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3" fontId="0" fillId="0" borderId="13" xfId="0" applyNumberFormat="1" applyFont="1" applyFill="1" applyBorder="1" applyAlignment="1">
      <x:alignment vertical="center"/>
    </x:xf>
    <x:xf numFmtId="203" fontId="0" fillId="0" borderId="16" xfId="0" applyNumberFormat="1" applyFont="1" applyFill="1" applyBorder="1" applyAlignment="1">
      <x:alignment vertical="center"/>
    </x:xf>
    <x:xf numFmtId="203" fontId="0" fillId="0" borderId="8" xfId="0" applyNumberFormat="1" applyFont="1" applyFill="1" applyBorder="1" applyAlignment="1">
      <x:alignment vertical="center"/>
    </x:xf>
    <x:xf numFmtId="207" fontId="0" fillId="0" borderId="13" xfId="0" applyNumberFormat="1" applyFont="1" applyFill="1" applyBorder="1" applyAlignment="1">
      <x:alignment vertical="center"/>
    </x:xf>
    <x:xf numFmtId="207" fontId="0" fillId="0" borderId="16" xfId="0" applyNumberFormat="1" applyFont="1" applyFill="1" applyBorder="1" applyAlignment="1">
      <x:alignment vertical="center"/>
    </x:xf>
    <x:xf numFmtId="207" fontId="0" fillId="0" borderId="8" xfId="0" applyNumberFormat="1" applyFont="1" applyFill="1" applyBorder="1" applyAlignment="1">
      <x:alignment vertical="center"/>
    </x:xf>
    <x:xf numFmtId="0" fontId="8" fillId="0" borderId="13" xfId="0" applyNumberFormat="1" applyFont="1" applyFill="1" applyBorder="1" applyAlignment="1">
      <x:alignment vertical="center"/>
    </x:xf>
    <x:xf numFmtId="0" fontId="8" fillId="0" borderId="16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5" fontId="0" fillId="0" borderId="4" xfId="0" applyNumberFormat="1" applyFont="1" applyFill="1" applyBorder="1" applyAlignment="1">
      <x:alignment vertical="center"/>
    </x:xf>
    <x:xf numFmtId="205" fontId="0" fillId="0" borderId="5" xfId="0" applyNumberFormat="1" applyFont="1" applyFill="1" applyBorder="1" applyAlignment="1">
      <x:alignment vertical="center"/>
    </x:xf>
    <x:xf numFmtId="205" fontId="0" fillId="0" borderId="6" xfId="0" applyNumberFormat="1" applyFont="1" applyFill="1" applyBorder="1" applyAlignment="1">
      <x:alignment vertical="center"/>
    </x:xf>
    <x:xf numFmtId="204" fontId="0" fillId="0" borderId="4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color rgb="FF17365D"/>
      </x:font>
      <x:fill>
        <x:patternFill patternType="solid">
          <x:bgColor rgb="FFEEF5FB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77ddc2a5b4efd" /><Relationship Type="http://schemas.openxmlformats.org/officeDocument/2006/relationships/theme" Target="/xl/theme/theme1.xml" Id="R23b7014fc150489c" /><Relationship Type="http://schemas.openxmlformats.org/officeDocument/2006/relationships/sharedStrings" Target="/xl/sharedStrings.xml" Id="R70f7307a77ec49e7" /><Relationship Type="http://schemas.openxmlformats.org/officeDocument/2006/relationships/worksheet" Target="/xl/worksheets/sheet1.xml" Id="Rec7cd6cc4d294db7" /><Relationship Type="http://schemas.openxmlformats.org/officeDocument/2006/relationships/worksheet" Target="/xl/worksheets/sheet2.xml" Id="Rd34c59756aca44f9" /><Relationship Type="http://schemas.openxmlformats.org/officeDocument/2006/relationships/worksheet" Target="/xl/worksheets/sheet3.xml" Id="R9abf83ea51bf41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01c83e560842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表磁盘容量（TiB，双副本）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磁盘容量（TiB）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'汇总'!$B$23:$B$32</c:f>
              <c:strCache>
                <c:ptCount val="0"/>
              </c:strCache>
            </c:strRef>
          </c:cat>
          <c:val>
            <c:numRef>
              <c:f>'汇总'!$C$23:$C$32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19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01c83e5608426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sinessTableDetail" displayName="BusinessTableDetail" ref="A4:P70" headerRowCount="1" totalsRowCount="0" totalsRowShown="0">
  <x:autoFilter ref="A4:P70"/>
  <x:tableColumns count="16">
    <x:tableColumn id="1" name="容量排名"/>
    <x:tableColumn id="2" name="表名"/>
    <x:tableColumn id="3" name="容量级别"/>
    <x:tableColumn id="4" name="行数级别"/>
    <x:tableColumn id="5" name="总行数"/>
    <x:tableColumn id="6" name="行数（亿）"/>
    <x:tableColumn id="7" name="原始字节数"/>
    <x:tableColumn id="8" name="磁盘字节数（双副本）"/>
    <x:tableColumn id="9" name="磁盘容量（TiB）"/>
    <x:tableColumn id="10" name="容量占比"/>
    <x:tableColumn id="11" name="累计容量占比"/>
    <x:tableColumn id="12" name="原始数据量（TiB）"/>
    <x:tableColumn id="13" name="原始B/行"/>
    <x:tableColumn id="14" name="磁盘B/行"/>
    <x:tableColumn id="15" name="压缩比"/>
    <x:tableColumn id="16" name="原容量文本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rgeTables" displayName="LargeTables" ref="A4:G26" headerRowCount="1" totalsRowCount="0" totalsRowShown="0">
  <x:tableColumns count="7">
    <x:tableColumn id="1" name="容量级别"/>
    <x:tableColumn id="2" name="容量排名"/>
    <x:tableColumn id="3" name="表名"/>
    <x:tableColumn id="4" name="总行数"/>
    <x:tableColumn id="5" name="磁盘容量（TiB）"/>
    <x:tableColumn id="6" name="容量占比"/>
    <x:tableColumn id="7" name="压缩比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SmallTables" displayName="SmallTables" ref="I4:O36" headerRowCount="1" totalsRowCount="0" totalsRowShown="0">
  <x:tableColumns count="7">
    <x:tableColumn id="1" name="容量级别"/>
    <x:tableColumn id="2" name="容量排名"/>
    <x:tableColumn id="3" name="表名"/>
    <x:tableColumn id="4" name="总行数"/>
    <x:tableColumn id="5" name="磁盘容量（TiB）"/>
    <x:tableColumn id="6" name="容量占比"/>
    <x:tableColumn id="7" name="压缩比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880f9ec8644e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7601d6dc9f44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4fb94f9a5b44d0" /><Relationship Type="http://schemas.openxmlformats.org/officeDocument/2006/relationships/table" Target="/xl/tables/table3.xml" Id="R61079af2141146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6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7" hidden="0" customWidth="1"/>
    <x:col min="9" max="9" width="13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4" customHeight="1">
      <x:c r="A1" s="9" t="str">
        <x:v>business 数据库表数据量分析摘要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1"/>
    </x:row>
    <x:row r="2" ht="30" customHeight="1">
      <x:c r="A2" s="15" t="str">
        <x:v>统计口径：disk_total_bytes 为双副本磁盘总量；主分类按磁盘容量，行数分类作为辅助。来源：国内老集群business库各表数据量统计（双副本）.csv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4">
      <x:c r="A4" s="80" t="str">
        <x:v>表数量</x:v>
      </x:c>
      <x:c r="B4" s="81"/>
      <x:c r="C4" s="82"/>
      <x:c r="D4" s="80" t="str">
        <x:v>总行数（万亿）</x:v>
      </x:c>
      <x:c r="E4" s="81"/>
      <x:c r="F4" s="82"/>
      <x:c r="G4" s="116" t="str">
        <x:v>双副本磁盘总量（TiB）</x:v>
      </x:c>
      <x:c r="H4" s="117"/>
      <x:c r="I4" s="118"/>
      <x:c r="J4" s="116" t="str">
        <x:v>Top 5 容量占比</x:v>
      </x:c>
      <x:c r="K4" s="117"/>
      <x:c r="L4" s="117"/>
      <x:c r="M4" s="118"/>
    </x:row>
    <x:row r="5">
      <x:c r="A5" s="83" t="n">
        <x:f>COUNTA('明细'!$B$5:$B$70)</x:f>
        <x:v>66</x:v>
      </x:c>
      <x:c r="B5" s="84"/>
      <x:c r="C5" s="85"/>
      <x:c r="D5" s="161" t="n">
        <x:f>SUM('明细'!$E$5:$E$70)/1000000000000</x:f>
        <x:v>2.269554335087</x:v>
      </x:c>
      <x:c r="E5" s="162"/>
      <x:c r="F5" s="163"/>
      <x:c r="G5" s="167" t="n">
        <x:f>SUM('明细'!$I$5:$I$70)</x:f>
        <x:v>276.89875751394993</x:v>
      </x:c>
      <x:c r="H5" s="168"/>
      <x:c r="I5" s="169"/>
      <x:c r="J5" s="173" t="n">
        <x:f>SUM('明细'!$J$5:$J$9)</x:f>
        <x:v>0.9263628322784863</x:v>
      </x:c>
      <x:c r="K5" s="174"/>
      <x:c r="L5" s="174"/>
      <x:c r="M5" s="175"/>
    </x:row>
    <x:row r="6">
      <x:c r="A6" s="86"/>
      <x:c r="B6" s="87"/>
      <x:c r="C6" s="88"/>
      <x:c r="D6" s="164"/>
      <x:c r="E6" s="165"/>
      <x:c r="F6" s="166"/>
      <x:c r="G6" s="170"/>
      <x:c r="H6" s="171"/>
      <x:c r="I6" s="172"/>
      <x:c r="J6" s="176"/>
      <x:c r="K6" s="177"/>
      <x:c r="L6" s="177"/>
      <x:c r="M6" s="178"/>
    </x:row>
    <x:row r="8">
      <x:c r="A8" s="152" t="str">
        <x:v>整体加权压缩比</x:v>
      </x:c>
      <x:c r="B8" s="153"/>
      <x:c r="C8" s="154"/>
      <x:c r="D8" s="152" t="str">
        <x:v>单副本估算（TiB）</x:v>
      </x:c>
      <x:c r="E8" s="153"/>
      <x:c r="F8" s="154"/>
      <x:c r="G8" s="80" t="str">
        <x:v>单表磁盘中位数（GiB）</x:v>
      </x:c>
      <x:c r="H8" s="81"/>
      <x:c r="I8" s="82"/>
      <x:c r="J8" s="116" t="str">
        <x:v>最大表容量占比</x:v>
      </x:c>
      <x:c r="K8" s="117"/>
      <x:c r="L8" s="117"/>
      <x:c r="M8" s="118"/>
    </x:row>
    <x:row r="9">
      <x:c r="A9" s="179" t="n">
        <x:f>SUM('明细'!$G$5:$G$70)/SUM('明细'!$H$5:$H$70)</x:f>
        <x:v>13.880392018306825</x:v>
      </x:c>
      <x:c r="B9" s="180"/>
      <x:c r="C9" s="181"/>
      <x:c r="D9" s="185" t="n">
        <x:f>SUM('明细'!$I$5:$I$70)/2</x:f>
        <x:v>138.44937875697497</x:v>
      </x:c>
      <x:c r="E9" s="186"/>
      <x:c r="F9" s="187"/>
      <x:c r="G9" s="191" t="n">
        <x:f>MEDIAN('明细'!$I$5:$I$70)*1024</x:f>
        <x:v>16.94321921421215</x:v>
      </x:c>
      <x:c r="H9" s="192"/>
      <x:c r="I9" s="193"/>
      <x:c r="J9" s="173" t="n">
        <x:f>MAX('明细'!$J$5:$J$70)</x:f>
        <x:v>0.4844687848036526</x:v>
      </x:c>
      <x:c r="K9" s="174"/>
      <x:c r="L9" s="174"/>
      <x:c r="M9" s="175"/>
    </x:row>
    <x:row r="10">
      <x:c r="A10" s="182"/>
      <x:c r="B10" s="183"/>
      <x:c r="C10" s="184"/>
      <x:c r="D10" s="188"/>
      <x:c r="E10" s="189"/>
      <x:c r="F10" s="190"/>
      <x:c r="G10" s="194"/>
      <x:c r="H10" s="195"/>
      <x:c r="I10" s="196"/>
      <x:c r="J10" s="176"/>
      <x:c r="K10" s="177"/>
      <x:c r="L10" s="177"/>
      <x:c r="M10" s="178"/>
    </x:row>
    <x:row r="12" ht="24" customHeight="1">
      <x:c r="A12" s="202" t="str">
        <x:v>容量分层（主口径）</x:v>
      </x:c>
      <x:c r="B12" s="203"/>
      <x:c r="C12" s="203"/>
      <x:c r="D12" s="203"/>
      <x:c r="E12" s="204"/>
      <x:c r="G12" s="202" t="str">
        <x:v>行数分层（辅助口径）</x:v>
      </x:c>
      <x:c r="H12" s="203"/>
      <x:c r="I12" s="203"/>
      <x:c r="J12" s="203"/>
      <x:c r="K12" s="204"/>
    </x:row>
    <x:row r="13">
      <x:c r="A13" s="207" t="str">
        <x:v>类别</x:v>
      </x:c>
      <x:c r="B13" s="207" t="str">
        <x:v>下限（GiB）</x:v>
      </x:c>
      <x:c r="C13" s="207" t="str">
        <x:v>表数</x:v>
      </x:c>
      <x:c r="D13" s="207" t="str">
        <x:v>磁盘容量（TiB）</x:v>
      </x:c>
      <x:c r="E13" s="207" t="str">
        <x:v>容量占比</x:v>
      </x:c>
      <x:c r="G13" s="207" t="str">
        <x:v>类别</x:v>
      </x:c>
      <x:c r="H13" s="207" t="str">
        <x:v>下限（行）</x:v>
      </x:c>
      <x:c r="I13" s="207" t="str">
        <x:v>表数</x:v>
      </x:c>
      <x:c r="J13" s="207" t="str">
        <x:v>行数（万亿）</x:v>
      </x:c>
      <x:c r="K13" s="207" t="str">
        <x:v>行数占比</x:v>
      </x:c>
    </x:row>
    <x:row r="14">
      <x:c r="A14" s="229" t="str">
        <x:v>超大表</x:v>
      </x:c>
      <x:c r="B14" s="214" t="n">
        <x:v>1024</x:v>
      </x:c>
      <x:c r="C14" s="217" t="n">
        <x:f>COUNTIF('明细'!$C$5:$C$70,A14)</x:f>
        <x:v>12</x:v>
      </x:c>
      <x:c r="D14" s="220" t="n">
        <x:f>SUMIF('明细'!$C$5:$C$70,A14,'明细'!$I$5:$I$70)</x:f>
        <x:v>273.8286284602709</x:v>
      </x:c>
      <x:c r="E14" s="223" t="n">
        <x:f>D14/SUM($D$14:$D$17)</x:f>
        <x:v>0.9889124491520178</x:v>
      </x:c>
      <x:c r="G14" s="229" t="str">
        <x:v>超高行数</x:v>
      </x:c>
      <x:c r="H14" s="214" t="n">
        <x:v>10000000000</x:v>
      </x:c>
      <x:c r="I14" s="217" t="n">
        <x:f>COUNTIF('明细'!$D$5:$D$70,G14)</x:f>
        <x:v>12</x:v>
      </x:c>
      <x:c r="J14" s="226" t="n">
        <x:f>SUMIF('明细'!$D$5:$D$70,G14,'明细'!$E$5:$E$70)/1000000000000</x:f>
        <x:v>2.191634792686</x:v>
      </x:c>
      <x:c r="K14" s="223" t="n">
        <x:f>J14/SUM($J$14:$J$17)</x:f>
        <x:v>0.9656674699537373</x:v>
      </x:c>
    </x:row>
    <x:row r="15">
      <x:c r="A15" s="230" t="str">
        <x:v>大表</x:v>
      </x:c>
      <x:c r="B15" s="215" t="n">
        <x:v>100</x:v>
      </x:c>
      <x:c r="C15" s="218" t="n">
        <x:f>COUNTIF('明细'!$C$5:$C$70,A15)</x:f>
        <x:v>10</x:v>
      </x:c>
      <x:c r="D15" s="221" t="n">
        <x:f>SUMIF('明细'!$C$5:$C$70,A15,'明细'!$I$5:$I$70)</x:f>
        <x:v>2.476985034725658</x:v>
      </x:c>
      <x:c r="E15" s="224" t="n">
        <x:f>D15/SUM($D$14:$D$17)</x:f>
        <x:v>0.008945453771495776</x:v>
      </x:c>
      <x:c r="G15" s="230" t="str">
        <x:v>高行数</x:v>
      </x:c>
      <x:c r="H15" s="215" t="n">
        <x:v>1000000000</x:v>
      </x:c>
      <x:c r="I15" s="218" t="n">
        <x:f>COUNTIF('明细'!$D$5:$D$70,G15)</x:f>
        <x:v>15</x:v>
      </x:c>
      <x:c r="J15" s="227" t="n">
        <x:f>SUMIF('明细'!$D$5:$D$70,G15,'明细'!$E$5:$E$70)/1000000000000</x:f>
        <x:v>0.07364400428</x:v>
      </x:c>
      <x:c r="K15" s="224" t="n">
        <x:f>J15/SUM($J$14:$J$17)</x:f>
        <x:v>0.032448663220559976</x:v>
      </x:c>
    </x:row>
    <x:row r="16">
      <x:c r="A16" s="230" t="str">
        <x:v>中表</x:v>
      </x:c>
      <x:c r="B16" s="215" t="n">
        <x:v>10</x:v>
      </x:c>
      <x:c r="C16" s="218" t="n">
        <x:f>COUNTIF('明细'!$C$5:$C$70,A16)</x:f>
        <x:v>12</x:v>
      </x:c>
      <x:c r="D16" s="221" t="n">
        <x:f>SUMIF('明细'!$C$5:$C$70,A16,'明细'!$I$5:$I$70)</x:f>
        <x:v>0.5409788707247571</x:v>
      </x:c>
      <x:c r="E16" s="224" t="n">
        <x:f>D16/SUM($D$14:$D$17)</x:f>
        <x:v>0.0019537063856182274</x:v>
      </x:c>
      <x:c r="G16" s="230" t="str">
        <x:v>中行数</x:v>
      </x:c>
      <x:c r="H16" s="215" t="n">
        <x:v>100000000</x:v>
      </x:c>
      <x:c r="I16" s="218" t="n">
        <x:f>COUNTIF('明细'!$D$5:$D$70,G16)</x:f>
        <x:v>9</x:v>
      </x:c>
      <x:c r="J16" s="227" t="n">
        <x:f>SUMIF('明细'!$D$5:$D$70,G16,'明细'!$E$5:$E$70)/1000000000000</x:f>
        <x:v>0.003766683925</x:v>
      </x:c>
      <x:c r="K16" s="224" t="n">
        <x:f>J16/SUM($J$14:$J$17)</x:f>
        <x:v>0.0016596579631373352</x:v>
      </x:c>
    </x:row>
    <x:row r="17">
      <x:c r="A17" s="231" t="str">
        <x:v>小表</x:v>
      </x:c>
      <x:c r="B17" s="216" t="n">
        <x:v>0</x:v>
      </x:c>
      <x:c r="C17" s="219" t="n">
        <x:f>COUNTIF('明细'!$C$5:$C$70,A17)</x:f>
        <x:v>32</x:v>
      </x:c>
      <x:c r="D17" s="222" t="n">
        <x:f>SUMIF('明细'!$C$5:$C$70,A17,'明细'!$I$5:$I$70)</x:f>
        <x:v>0.05216514822859608</x:v>
      </x:c>
      <x:c r="E17" s="225" t="n">
        <x:f>D17/SUM($D$14:$D$17)</x:f>
        <x:v>0.0001883906908681887</x:v>
      </x:c>
      <x:c r="G17" s="231" t="str">
        <x:v>低行数</x:v>
      </x:c>
      <x:c r="H17" s="216" t="n">
        <x:v>0</x:v>
      </x:c>
      <x:c r="I17" s="219" t="n">
        <x:f>COUNTIF('明细'!$D$5:$D$70,G17)</x:f>
        <x:v>30</x:v>
      </x:c>
      <x:c r="J17" s="228" t="n">
        <x:f>SUMIF('明细'!$D$5:$D$70,G17,'明细'!$E$5:$E$70)/1000000000000</x:f>
        <x:v>0.000508854196</x:v>
      </x:c>
      <x:c r="K17" s="225" t="n">
        <x:f>J17/SUM($J$14:$J$17)</x:f>
        <x:v>0.00022420886256529907</x:v>
      </x:c>
    </x:row>
    <x:row r="20" ht="24" customHeight="1">
      <x:c r="A20" s="202" t="str">
        <x:v>Top 10 大表（按双副本磁盘容量）</x:v>
      </x:c>
      <x:c r="B20" s="203"/>
      <x:c r="C20" s="203"/>
      <x:c r="D20" s="203"/>
      <x:c r="E20" s="203"/>
      <x:c r="F20" s="204"/>
    </x:row>
    <x:row r="22">
      <x:c r="A22" s="207" t="str">
        <x:v>排名</x:v>
      </x:c>
      <x:c r="B22" s="207" t="str">
        <x:v>表名</x:v>
      </x:c>
      <x:c r="C22" s="207" t="str">
        <x:v>磁盘容量（TiB）</x:v>
      </x:c>
      <x:c r="D22" s="207" t="str">
        <x:v>容量占比</x:v>
      </x:c>
      <x:c r="E22" s="207" t="str">
        <x:v>行数（亿）</x:v>
      </x:c>
      <x:c r="F22" s="207" t="str">
        <x:v>压缩比</x:v>
      </x:c>
    </x:row>
    <x:row r="23">
      <x:c r="A23" s="238" t="n">
        <x:f>'明细'!A5</x:f>
        <x:v>1</x:v>
      </x:c>
      <x:c r="B23" s="235" t="str">
        <x:f>'明细'!B5</x:f>
        <x:v>network_security_log_local</x:v>
      </x:c>
      <x:c r="C23" s="241" t="n">
        <x:f>'明细'!I5</x:f>
        <x:v>134.1488045664246</x:v>
      </x:c>
      <x:c r="D23" s="244" t="n">
        <x:f>'明细'!J5</x:f>
        <x:v>0.4844687848036526</x:v>
      </x:c>
      <x:c r="E23" s="241" t="n">
        <x:f>'明细'!F5</x:f>
        <x:v>4978.87456508</x:v>
      </x:c>
      <x:c r="F23" s="247" t="n">
        <x:f>'明细'!O5</x:f>
        <x:v>14.09</x:v>
      </x:c>
    </x:row>
    <x:row r="24">
      <x:c r="A24" s="239" t="n">
        <x:f>'明细'!A6</x:f>
        <x:v>2</x:v>
      </x:c>
      <x:c r="B24" s="236" t="str">
        <x:f>'明细'!B6</x:f>
        <x:v>http_log_local</x:v>
      </x:c>
      <x:c r="C24" s="242" t="n">
        <x:f>'明细'!I6</x:f>
        <x:v>69.10186209280346</x:v>
      </x:c>
      <x:c r="D24" s="245" t="n">
        <x:f>'明细'!J6</x:f>
        <x:v>0.2495564180685143</x:v>
      </x:c>
      <x:c r="E24" s="242" t="n">
        <x:f>'明细'!F6</x:f>
        <x:v>3407.09228401</x:v>
      </x:c>
      <x:c r="F24" s="248" t="n">
        <x:f>'明细'!O6</x:f>
        <x:v>10.33</x:v>
      </x:c>
    </x:row>
    <x:row r="25">
      <x:c r="A25" s="239" t="n">
        <x:f>'明细'!A7</x:f>
        <x:v>3</x:v>
      </x:c>
      <x:c r="B25" s="236" t="str">
        <x:f>'明细'!B7</x:f>
        <x:v>ssl_tls_log_local</x:v>
      </x:c>
      <x:c r="C25" s="242" t="n">
        <x:f>'明细'!I7</x:f>
        <x:v>22.03879312657864</x:v>
      </x:c>
      <x:c r="D25" s="245" t="n">
        <x:f>'明细'!J7</x:f>
        <x:v>0.0795915204692399</x:v>
      </x:c>
      <x:c r="E25" s="242" t="n">
        <x:f>'明细'!F7</x:f>
        <x:v>502.35819182</x:v>
      </x:c>
      <x:c r="F25" s="248" t="n">
        <x:f>'明细'!O7</x:f>
        <x:v>8.51</x:v>
      </x:c>
    </x:row>
    <x:row r="26">
      <x:c r="A26" s="239" t="n">
        <x:f>'明细'!A8</x:f>
        <x:v>4</x:v>
      </x:c>
      <x:c r="B26" s="236" t="str">
        <x:f>'明细'!B8</x:f>
        <x:v>tcp_log_local</x:v>
      </x:c>
      <x:c r="C26" s="242" t="n">
        <x:f>'明细'!I8</x:f>
        <x:v>15.954821199052276</x:v>
      </x:c>
      <x:c r="D26" s="245" t="n">
        <x:f>'明细'!J8</x:f>
        <x:v>0.05761969227416445</x:v>
      </x:c>
      <x:c r="E26" s="242" t="n">
        <x:f>'明细'!F8</x:f>
        <x:v>3279.98137977</x:v>
      </x:c>
      <x:c r="F26" s="248" t="n">
        <x:f>'明细'!O8</x:f>
        <x:v>13.62</x:v>
      </x:c>
    </x:row>
    <x:row r="27">
      <x:c r="A27" s="239" t="n">
        <x:f>'明细'!A9</x:f>
        <x:v>5</x:v>
      </x:c>
      <x:c r="B27" s="236" t="str">
        <x:f>'明细'!B9</x:f>
        <x:v>dns_log_local</x:v>
      </x:c>
      <x:c r="C27" s="242" t="n">
        <x:f>'明细'!I9</x:f>
        <x:v>15.264436280157497</x:v>
      </x:c>
      <x:c r="D27" s="245" t="n">
        <x:f>'明细'!J9</x:f>
        <x:v>0.0551264166629151</x:v>
      </x:c>
      <x:c r="E27" s="242" t="n">
        <x:f>'明细'!F9</x:f>
        <x:v>5639.74083265</x:v>
      </x:c>
      <x:c r="F27" s="248" t="n">
        <x:f>'明细'!O9</x:f>
        <x:v>22.76</x:v>
      </x:c>
    </x:row>
    <x:row r="28">
      <x:c r="A28" s="239" t="n">
        <x:f>'明细'!A10</x:f>
        <x:v>6</x:v>
      </x:c>
      <x:c r="B28" s="236" t="str">
        <x:f>'明细'!B10</x:f>
        <x:v>acl_log_local</x:v>
      </x:c>
      <x:c r="C28" s="242" t="n">
        <x:f>'明细'!I10</x:f>
        <x:v>6.251083732563529</x:v>
      </x:c>
      <x:c r="D28" s="245" t="n">
        <x:f>'明细'!J10</x:f>
        <x:v>0.022575340491546282</x:v>
      </x:c>
      <x:c r="E28" s="242" t="n">
        <x:f>'明细'!F10</x:f>
        <x:v>911.38370194</x:v>
      </x:c>
      <x:c r="F28" s="248" t="n">
        <x:f>'明细'!O10</x:f>
        <x:v>16.09</x:v>
      </x:c>
    </x:row>
    <x:row r="29">
      <x:c r="A29" s="239" t="n">
        <x:f>'明细'!A11</x:f>
        <x:v>7</x:v>
      </x:c>
      <x:c r="B29" s="236" t="str">
        <x:f>'明细'!B11</x:f>
        <x:v>smb_log_local</x:v>
      </x:c>
      <x:c r="C29" s="242" t="n">
        <x:f>'明细'!I11</x:f>
        <x:v>2.3134246790259567</x:v>
      </x:c>
      <x:c r="D29" s="245" t="n">
        <x:f>'明细'!J11</x:f>
        <x:v>0.008354767279551293</x:v>
      </x:c>
      <x:c r="E29" s="242" t="n">
        <x:f>'明细'!F11</x:f>
        <x:v>1232.28674861</x:v>
      </x:c>
      <x:c r="F29" s="248" t="n">
        <x:f>'明细'!O11</x:f>
        <x:v>34.35</x:v>
      </x:c>
    </x:row>
    <x:row r="30">
      <x:c r="A30" s="239" t="n">
        <x:f>'明细'!A12</x:f>
        <x:v>8</x:v>
      </x:c>
      <x:c r="B30" s="236" t="str">
        <x:f>'明细'!B12</x:f>
        <x:v>parse_status_log_local</x:v>
      </x:c>
      <x:c r="C30" s="242" t="n">
        <x:f>'明细'!I12</x:f>
        <x:v>2.032007328241889</x:v>
      </x:c>
      <x:c r="D30" s="245" t="n">
        <x:f>'明细'!J12</x:f>
        <x:v>0.007338448704088237</x:v>
      </x:c>
      <x:c r="E30" s="242" t="n">
        <x:f>'明细'!F12</x:f>
        <x:v>413.0205229</x:v>
      </x:c>
      <x:c r="F30" s="248" t="n">
        <x:f>'明细'!O12</x:f>
        <x:v>23.94</x:v>
      </x:c>
    </x:row>
    <x:row r="31">
      <x:c r="A31" s="239" t="n">
        <x:f>'明细'!A13</x:f>
        <x:v>9</x:v>
      </x:c>
      <x:c r="B31" s="236" t="str">
        <x:f>'明细'!B13</x:f>
        <x:v>endpoint_security_log_local</x:v>
      </x:c>
      <x:c r="C31" s="242" t="n">
        <x:f>'明细'!I13</x:f>
        <x:v>2.01184719923549</x:v>
      </x:c>
      <x:c r="D31" s="245" t="n">
        <x:f>'明细'!J13</x:f>
        <x:v>0.007265641844326928</x:v>
      </x:c>
      <x:c r="E31" s="242" t="n">
        <x:f>'明细'!F13</x:f>
        <x:v>59.06172668</x:v>
      </x:c>
      <x:c r="F31" s="248" t="n">
        <x:f>'明细'!O13</x:f>
        <x:v>19.04</x:v>
      </x:c>
    </x:row>
    <x:row r="32">
      <x:c r="A32" s="240" t="n">
        <x:f>'明细'!A14</x:f>
        <x:v>10</x:v>
      </x:c>
      <x:c r="B32" s="237" t="str">
        <x:f>'明细'!B14</x:f>
        <x:v>icmp_log_local</x:v>
      </x:c>
      <x:c r="C32" s="243" t="n">
        <x:f>'明细'!I14</x:f>
        <x:v>1.9293353755119824</x:v>
      </x:c>
      <x:c r="D32" s="246" t="n">
        <x:f>'明细'!J14</x:f>
        <x:v>0.0069676563117650825</x:v>
      </x:c>
      <x:c r="E32" s="243" t="n">
        <x:f>'明细'!F14</x:f>
        <x:v>940.81030042</x:v>
      </x:c>
      <x:c r="F32" s="249" t="n">
        <x:f>'明细'!O14</x:f>
        <x:v>40.15</x:v>
      </x:c>
    </x:row>
    <x:row r="35" ht="24" customHeight="1">
      <x:c r="A35" s="202" t="str">
        <x:v>核心结论与建议</x:v>
      </x:c>
      <x:c r="B35" s="203"/>
      <x:c r="C35" s="203"/>
      <x:c r="D35" s="203"/>
      <x:c r="E35" s="203"/>
      <x:c r="F35" s="203"/>
      <x:c r="G35" s="203"/>
      <x:c r="H35" s="203"/>
      <x:c r="I35" s="203"/>
      <x:c r="J35" s="203"/>
      <x:c r="K35" s="203"/>
      <x:c r="L35" s="203"/>
      <x:c r="M35" s="204"/>
    </x:row>
    <x:row r="36" ht="30" customHeight="1">
      <x:c r="A36" s="253" t="str">
        <x:v>1. 容量高度集中：最大表占 48.4%，Top 3 占 81.4%，Top 5 占 92.6%，Top 10 占 97.9%。</x:v>
      </x:c>
      <x:c r="B36" s="253"/>
      <x:c r="C36" s="253"/>
      <x:c r="D36" s="253"/>
      <x:c r="E36" s="253"/>
      <x:c r="F36" s="253"/>
      <x:c r="G36" s="253"/>
      <x:c r="H36" s="253"/>
      <x:c r="I36" s="253"/>
      <x:c r="J36" s="253"/>
      <x:c r="K36" s="253"/>
      <x:c r="L36" s="253"/>
      <x:c r="M36" s="253"/>
    </x:row>
    <x:row r="37" ht="30" customHeight="1">
      <x:c r="A37" s="257" t="str">
        <x:v>2. 优先治理 network_security_log_local 与 http_log_local：两表合计 203.25 TiB，占 73.4%。</x:v>
      </x:c>
      <x:c r="B37" s="257"/>
      <x:c r="C37" s="257"/>
      <x:c r="D37" s="257"/>
      <x:c r="E37" s="257"/>
      <x:c r="F37" s="257"/>
      <x:c r="G37" s="257"/>
      <x:c r="H37" s="257"/>
      <x:c r="I37" s="257"/>
      <x:c r="J37" s="257"/>
      <x:c r="K37" s="257"/>
      <x:c r="L37" s="257"/>
      <x:c r="M37" s="257"/>
    </x:row>
    <x:row r="38" ht="30" customHeight="1">
      <x:c r="A38" s="253" t="str">
        <x:v>3. 行数与容量并不等价：dns_log_local 行数最多（5639.74 亿行），但容量为 15.26 TiB；network_security_log_local 容量最大（134.15 TiB）。</x:v>
      </x:c>
      <x:c r="B38" s="253"/>
      <x:c r="C38" s="253"/>
      <x:c r="D38" s="253"/>
      <x:c r="E38" s="253"/>
      <x:c r="F38" s="253"/>
      <x:c r="G38" s="253"/>
      <x:c r="H38" s="253"/>
      <x:c r="I38" s="253"/>
      <x:c r="J38" s="253"/>
      <x:c r="K38" s="253"/>
      <x:c r="L38" s="253"/>
      <x:c r="M38" s="253"/>
    </x:row>
    <x:row r="39" ht="30" customHeight="1">
      <x:c r="A39" s="257" t="str">
        <x:v>4. ssl_tls_log_local 的磁盘行宽为 482.36 B/行、压缩比 8.51，在头部表中较宽且压缩偏低，适合检查字段裁剪、编码、索引和冷热分层。</x:v>
      </x:c>
      <x:c r="B39" s="257"/>
      <x:c r="C39" s="257"/>
      <x:c r="D39" s="257"/>
      <x:c r="E39" s="257"/>
      <x:c r="F39" s="257"/>
      <x:c r="G39" s="257"/>
      <x:c r="H39" s="257"/>
      <x:c r="I39" s="257"/>
      <x:c r="J39" s="257"/>
      <x:c r="K39" s="257"/>
      <x:c r="L39" s="257"/>
      <x:c r="M39" s="257"/>
    </x:row>
    <x:row r="40" ht="30" customHeight="1">
      <x:c r="A40" s="253" t="str">
        <x:v>5. 32 张小表合计仅 0.052 TiB（53.42 GiB），只占 0.019%；若目标是降容量，小表整体优先级较低。</x:v>
      </x:c>
      <x:c r="B40" s="253"/>
      <x:c r="C40" s="253"/>
      <x:c r="D40" s="253"/>
      <x:c r="E40" s="253"/>
      <x:c r="F40" s="253"/>
      <x:c r="G40" s="253"/>
      <x:c r="H40" s="253"/>
      <x:c r="I40" s="253"/>
      <x:c r="J40" s="253"/>
      <x:c r="K40" s="253"/>
      <x:c r="L40" s="253"/>
      <x:c r="M40" s="253"/>
    </x:row>
  </x:sheetData>
  <x:mergeCells>
    <x:mergeCell ref="A1:M1"/>
    <x:mergeCell ref="A2:M2"/>
    <x:mergeCell ref="A4:C4"/>
    <x:mergeCell ref="A5:C6"/>
    <x:mergeCell ref="D4:F4"/>
    <x:mergeCell ref="D5:F6"/>
    <x:mergeCell ref="G4:I4"/>
    <x:mergeCell ref="G5:I6"/>
    <x:mergeCell ref="J4:M4"/>
    <x:mergeCell ref="J5:M6"/>
    <x:mergeCell ref="A8:C8"/>
    <x:mergeCell ref="A9:C10"/>
    <x:mergeCell ref="D8:F8"/>
    <x:mergeCell ref="D9:F10"/>
    <x:mergeCell ref="G8:I8"/>
    <x:mergeCell ref="G9:I10"/>
    <x:mergeCell ref="J8:M8"/>
    <x:mergeCell ref="J9:M10"/>
    <x:mergeCell ref="A12:E12"/>
    <x:mergeCell ref="G12:K12"/>
    <x:mergeCell ref="A20:F20"/>
    <x:mergeCell ref="A35:M35"/>
    <x:mergeCell ref="A36:M36"/>
    <x:mergeCell ref="A37:M37"/>
    <x:mergeCell ref="A38:M38"/>
    <x:mergeCell ref="A39:M39"/>
    <x:mergeCell ref="A40:M40"/>
  </x:mergeCells>
  <x:conditionalFormatting sqref="C23:C32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{5B7971D0-A326-8FC9-5955-338E37F89DA7}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7880f9ec8644e4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B7971D0-A326-8FC9-5955-338E37F89DA7}">
            <x14:dataBar gradient="1">
              <x14:cfvo type="min"/>
              <x14:cfvo type="max"/>
              <x14:fillColor rgb="FF2F75B5"/>
            </x14:dataBar>
          </x14:cfRule>
          <xm:sqref>C23:C32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5" hidden="0" customWidth="1"/>
    <x:col min="3" max="3" width="11" hidden="0" customWidth="1"/>
    <x:col min="4" max="4" width="12" hidden="0" customWidth="1"/>
    <x:col min="5" max="5" width="16" hidden="0" customWidth="1"/>
    <x:col min="6" max="6" width="12" hidden="0" customWidth="1"/>
    <x:col min="7" max="7" width="21" hidden="0" customWidth="1"/>
    <x:col min="8" max="8" width="22" hidden="0" customWidth="1"/>
    <x:col min="9" max="9" width="16" hidden="0" customWidth="1"/>
    <x:col min="10" max="10" width="12" hidden="0" customWidth="1"/>
    <x:col min="11" max="11" width="15" hidden="0" customWidth="1"/>
    <x:col min="12" max="12" width="17" hidden="0" customWidth="1"/>
    <x:col min="13" max="13" width="13" hidden="0" customWidth="1"/>
    <x:col min="14" max="14" width="13" hidden="0" customWidth="1"/>
    <x:col min="15" max="15" width="11" hidden="0" customWidth="1"/>
    <x:col min="16" max="16" width="15" hidden="0" customWidth="1"/>
  </x:cols>
  <x:sheetData>
    <x:row r="1" ht="34" customHeight="1">
      <x:c r="A1" s="9" t="str">
        <x:v>business 数据库各表规模明细（双副本）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1"/>
    </x:row>
    <x:row r="2" ht="28" customHeight="1">
      <x:c r="A2" s="15" t="str">
        <x:v>按 disk_total_bytes 从大到小排序；容量级别和行数级别由“汇总”页阈值驱动，可直接调整阈值。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</x:row>
    <x:row r="4" ht="34" customHeight="1">
      <x:c r="A4" s="26" t="str">
        <x:v>容量排名</x:v>
      </x:c>
      <x:c r="B4" s="27" t="str">
        <x:v>表名</x:v>
      </x:c>
      <x:c r="C4" s="27" t="str">
        <x:v>容量级别</x:v>
      </x:c>
      <x:c r="D4" s="27" t="str">
        <x:v>行数级别</x:v>
      </x:c>
      <x:c r="E4" s="27" t="str">
        <x:v>总行数</x:v>
      </x:c>
      <x:c r="F4" s="27" t="str">
        <x:v>行数（亿）</x:v>
      </x:c>
      <x:c r="G4" s="27" t="str">
        <x:v>原始字节数</x:v>
      </x:c>
      <x:c r="H4" s="27" t="str">
        <x:v>磁盘字节数（双副本）</x:v>
      </x:c>
      <x:c r="I4" s="27" t="str">
        <x:v>磁盘容量（TiB）</x:v>
      </x:c>
      <x:c r="J4" s="27" t="str">
        <x:v>容量占比</x:v>
      </x:c>
      <x:c r="K4" s="27" t="str">
        <x:v>累计容量占比</x:v>
      </x:c>
      <x:c r="L4" s="27" t="str">
        <x:v>原始数据量（TiB）</x:v>
      </x:c>
      <x:c r="M4" s="27" t="str">
        <x:v>原始B/行</x:v>
      </x:c>
      <x:c r="N4" s="27" t="str">
        <x:v>磁盘B/行</x:v>
      </x:c>
      <x:c r="O4" s="27" t="str">
        <x:v>压缩比</x:v>
      </x:c>
      <x:c r="P4" s="28" t="str">
        <x:v>原容量文本</x:v>
      </x:c>
    </x:row>
    <x:row r="5">
      <x:c r="A5" s="36" t="n">
        <x:f>ROW()-4</x:f>
        <x:v>1</x:v>
      </x:c>
      <x:c r="B5" s="33" t="str">
        <x:v>network_security_log_local</x:v>
      </x:c>
      <x:c r="C5" s="36" t="str">
        <x:f>IF(I5*1024&gt;='汇总'!$B$14,"超大表",IF(I5*1024&gt;='汇总'!$B$15,"大表",IF(I5*1024&gt;='汇总'!$B$16,"中表","小表")))</x:f>
        <x:v>超大表</x:v>
      </x:c>
      <x:c r="D5" s="36" t="str">
        <x:f>IF(E5&gt;='汇总'!$H$14,"超高行数",IF(E5&gt;='汇总'!$H$15,"高行数",IF(E5&gt;='汇总'!$H$16,"中行数","低行数")))</x:f>
        <x:v>超高行数</x:v>
      </x:c>
      <x:c r="E5" s="42" t="n">
        <x:v>497887456508</x:v>
      </x:c>
      <x:c r="F5" s="45" t="n">
        <x:f>E5/100000000</x:f>
        <x:v>4978.87456508</x:v>
      </x:c>
      <x:c r="G5" s="42" t="n">
        <x:v>2077910959412697</x:v>
      </x:c>
      <x:c r="H5" s="42" t="n">
        <x:v>147498170473034</x:v>
      </x:c>
      <x:c r="I5" s="48" t="n">
        <x:f>H5/1099511627776</x:f>
        <x:v>134.1488045664246</x:v>
      </x:c>
      <x:c r="J5" s="51" t="n">
        <x:f>H5/SUM($H$5:$H$70)</x:f>
        <x:v>0.4844687848036526</x:v>
      </x:c>
      <x:c r="K5" s="51" t="n">
        <x:f>SUM($J$5:J5)</x:f>
        <x:v>0.4844687848036526</x:v>
      </x:c>
      <x:c r="L5" s="48" t="n">
        <x:f>G5/1099511627776</x:f>
        <x:v>1889.84900834175</x:v>
      </x:c>
      <x:c r="M5" s="45" t="n">
        <x:v>4173.46</x:v>
      </x:c>
      <x:c r="N5" s="45" t="n">
        <x:v>296.25</x:v>
      </x:c>
      <x:c r="O5" s="45" t="n">
        <x:v>14.09</x:v>
      </x:c>
      <x:c r="P5" s="33" t="str">
        <x:v>134.15 TiB</x:v>
      </x:c>
    </x:row>
    <x:row r="6">
      <x:c r="A6" s="37" t="n">
        <x:f>ROW()-4</x:f>
        <x:v>2</x:v>
      </x:c>
      <x:c r="B6" s="34" t="str">
        <x:v>http_log_local</x:v>
      </x:c>
      <x:c r="C6" s="37" t="str">
        <x:f>IF(I6*1024&gt;='汇总'!$B$14,"超大表",IF(I6*1024&gt;='汇总'!$B$15,"大表",IF(I6*1024&gt;='汇总'!$B$16,"中表","小表")))</x:f>
        <x:v>超大表</x:v>
      </x:c>
      <x:c r="D6" s="37" t="str">
        <x:f>IF(E6&gt;='汇总'!$H$14,"超高行数",IF(E6&gt;='汇总'!$H$15,"高行数",IF(E6&gt;='汇总'!$H$16,"中行数","低行数")))</x:f>
        <x:v>超高行数</x:v>
      </x:c>
      <x:c r="E6" s="43" t="n">
        <x:v>340709228401</x:v>
      </x:c>
      <x:c r="F6" s="46" t="n">
        <x:f>E6/100000000</x:f>
        <x:v>3407.09228401</x:v>
      </x:c>
      <x:c r="G6" s="43" t="n">
        <x:v>784996716499401</x:v>
      </x:c>
      <x:c r="H6" s="43" t="n">
        <x:v>75978300872011</x:v>
      </x:c>
      <x:c r="I6" s="49" t="n">
        <x:f>H6/1099511627776</x:f>
        <x:v>69.10186209280346</x:v>
      </x:c>
      <x:c r="J6" s="52" t="n">
        <x:f>H6/SUM($H$5:$H$70)</x:f>
        <x:v>0.2495564180685143</x:v>
      </x:c>
      <x:c r="K6" s="52" t="n">
        <x:f>SUM($J$5:J6)</x:f>
        <x:v>0.7340252028721669</x:v>
      </x:c>
      <x:c r="L6" s="49" t="n">
        <x:f>G6/1099511627776</x:f>
        <x:v>713.9503545653506</x:v>
      </x:c>
      <x:c r="M6" s="46" t="n">
        <x:v>2304.01</x:v>
      </x:c>
      <x:c r="N6" s="46" t="n">
        <x:v>223</x:v>
      </x:c>
      <x:c r="O6" s="46" t="n">
        <x:v>10.33</x:v>
      </x:c>
      <x:c r="P6" s="34" t="str">
        <x:v>69.10 TiB</x:v>
      </x:c>
    </x:row>
    <x:row r="7">
      <x:c r="A7" s="37" t="n">
        <x:f>ROW()-4</x:f>
        <x:v>3</x:v>
      </x:c>
      <x:c r="B7" s="34" t="str">
        <x:v>ssl_tls_log_local</x:v>
      </x:c>
      <x:c r="C7" s="37" t="str">
        <x:f>IF(I7*1024&gt;='汇总'!$B$14,"超大表",IF(I7*1024&gt;='汇总'!$B$15,"大表",IF(I7*1024&gt;='汇总'!$B$16,"中表","小表")))</x:f>
        <x:v>超大表</x:v>
      </x:c>
      <x:c r="D7" s="37" t="str">
        <x:f>IF(E7&gt;='汇总'!$H$14,"超高行数",IF(E7&gt;='汇总'!$H$15,"高行数",IF(E7&gt;='汇总'!$H$16,"中行数","低行数")))</x:f>
        <x:v>超高行数</x:v>
      </x:c>
      <x:c r="E7" s="43" t="n">
        <x:v>50235819182</x:v>
      </x:c>
      <x:c r="F7" s="46" t="n">
        <x:f>E7/100000000</x:f>
        <x:v>502.35819182</x:v>
      </x:c>
      <x:c r="G7" s="43" t="n">
        <x:v>206117561006855</x:v>
      </x:c>
      <x:c r="H7" s="43" t="n">
        <x:v>24231909304823</x:v>
      </x:c>
      <x:c r="I7" s="49" t="n">
        <x:f>H7/1099511627776</x:f>
        <x:v>22.03879312657864</x:v>
      </x:c>
      <x:c r="J7" s="52" t="n">
        <x:f>H7/SUM($H$5:$H$70)</x:f>
        <x:v>0.0795915204692399</x:v>
      </x:c>
      <x:c r="K7" s="52" t="n">
        <x:f>SUM($J$5:J7)</x:f>
        <x:v>0.8136167233414068</x:v>
      </x:c>
      <x:c r="L7" s="49" t="n">
        <x:f>G7/1099511627776</x:f>
        <x:v>187.46282967809293</x:v>
      </x:c>
      <x:c r="M7" s="46" t="n">
        <x:v>4103</x:v>
      </x:c>
      <x:c r="N7" s="46" t="n">
        <x:v>482.36</x:v>
      </x:c>
      <x:c r="O7" s="46" t="n">
        <x:v>8.51</x:v>
      </x:c>
      <x:c r="P7" s="34" t="str">
        <x:v>22.04 TiB</x:v>
      </x:c>
    </x:row>
    <x:row r="8">
      <x:c r="A8" s="37" t="n">
        <x:f>ROW()-4</x:f>
        <x:v>4</x:v>
      </x:c>
      <x:c r="B8" s="34" t="str">
        <x:v>tcp_log_local</x:v>
      </x:c>
      <x:c r="C8" s="37" t="str">
        <x:f>IF(I8*1024&gt;='汇总'!$B$14,"超大表",IF(I8*1024&gt;='汇总'!$B$15,"大表",IF(I8*1024&gt;='汇总'!$B$16,"中表","小表")))</x:f>
        <x:v>超大表</x:v>
      </x:c>
      <x:c r="D8" s="37" t="str">
        <x:f>IF(E8&gt;='汇总'!$H$14,"超高行数",IF(E8&gt;='汇总'!$H$15,"高行数",IF(E8&gt;='汇总'!$H$16,"中行数","低行数")))</x:f>
        <x:v>超高行数</x:v>
      </x:c>
      <x:c r="E8" s="43" t="n">
        <x:v>327998137977</x:v>
      </x:c>
      <x:c r="F8" s="46" t="n">
        <x:f>E8/100000000</x:f>
        <x:v>3279.98137977</x:v>
      </x:c>
      <x:c r="G8" s="43" t="n">
        <x:v>238870009327616</x:v>
      </x:c>
      <x:c r="H8" s="43" t="n">
        <x:v>17542511427445</x:v>
      </x:c>
      <x:c r="I8" s="49" t="n">
        <x:f>H8/1099511627776</x:f>
        <x:v>15.954821199052276</x:v>
      </x:c>
      <x:c r="J8" s="52" t="n">
        <x:f>H8/SUM($H$5:$H$70)</x:f>
        <x:v>0.05761969227416445</x:v>
      </x:c>
      <x:c r="K8" s="52" t="n">
        <x:f>SUM($J$5:J8)</x:f>
        <x:v>0.8712364156155712</x:v>
      </x:c>
      <x:c r="L8" s="49" t="n">
        <x:f>G8/1099511627776</x:f>
        <x:v>217.2510078959167</x:v>
      </x:c>
      <x:c r="M8" s="46" t="n">
        <x:v>728.27</x:v>
      </x:c>
      <x:c r="N8" s="46" t="n">
        <x:v>53.48</x:v>
      </x:c>
      <x:c r="O8" s="46" t="n">
        <x:v>13.62</x:v>
      </x:c>
      <x:c r="P8" s="34" t="str">
        <x:v>15.95 TiB</x:v>
      </x:c>
    </x:row>
    <x:row r="9">
      <x:c r="A9" s="37" t="n">
        <x:f>ROW()-4</x:f>
        <x:v>5</x:v>
      </x:c>
      <x:c r="B9" s="34" t="str">
        <x:v>dns_log_local</x:v>
      </x:c>
      <x:c r="C9" s="37" t="str">
        <x:f>IF(I9*1024&gt;='汇总'!$B$14,"超大表",IF(I9*1024&gt;='汇总'!$B$15,"大表",IF(I9*1024&gt;='汇总'!$B$16,"中表","小表")))</x:f>
        <x:v>超大表</x:v>
      </x:c>
      <x:c r="D9" s="37" t="str">
        <x:f>IF(E9&gt;='汇总'!$H$14,"超高行数",IF(E9&gt;='汇总'!$H$15,"高行数",IF(E9&gt;='汇总'!$H$16,"中行数","低行数")))</x:f>
        <x:v>超高行数</x:v>
      </x:c>
      <x:c r="E9" s="43" t="n">
        <x:v>563974083265</x:v>
      </x:c>
      <x:c r="F9" s="46" t="n">
        <x:f>E9/100000000</x:f>
        <x:v>5639.74083265</x:v>
      </x:c>
      <x:c r="G9" s="43" t="n">
        <x:v>382018832730939</x:v>
      </x:c>
      <x:c r="H9" s="43" t="n">
        <x:v>16783425181479</x:v>
      </x:c>
      <x:c r="I9" s="49" t="n">
        <x:f>H9/1099511627776</x:f>
        <x:v>15.264436280157497</x:v>
      </x:c>
      <x:c r="J9" s="52" t="n">
        <x:f>H9/SUM($H$5:$H$70)</x:f>
        <x:v>0.0551264166629151</x:v>
      </x:c>
      <x:c r="K9" s="52" t="n">
        <x:f>SUM($J$5:J9)</x:f>
        <x:v>0.9263628322784863</x:v>
      </x:c>
      <x:c r="L9" s="49" t="n">
        <x:f>G9/1099511627776</x:f>
        <x:v>347.4441043462675</x:v>
      </x:c>
      <x:c r="M9" s="46" t="n">
        <x:v>677.37</x:v>
      </x:c>
      <x:c r="N9" s="46" t="n">
        <x:v>29.76</x:v>
      </x:c>
      <x:c r="O9" s="46" t="n">
        <x:v>22.76</x:v>
      </x:c>
      <x:c r="P9" s="34" t="str">
        <x:v>15.26 TiB</x:v>
      </x:c>
    </x:row>
    <x:row r="10">
      <x:c r="A10" s="37" t="n">
        <x:f>ROW()-4</x:f>
        <x:v>6</x:v>
      </x:c>
      <x:c r="B10" s="34" t="str">
        <x:v>acl_log_local</x:v>
      </x:c>
      <x:c r="C10" s="37" t="str">
        <x:f>IF(I10*1024&gt;='汇总'!$B$14,"超大表",IF(I10*1024&gt;='汇总'!$B$15,"大表",IF(I10*1024&gt;='汇总'!$B$16,"中表","小表")))</x:f>
        <x:v>超大表</x:v>
      </x:c>
      <x:c r="D10" s="37" t="str">
        <x:f>IF(E10&gt;='汇总'!$H$14,"超高行数",IF(E10&gt;='汇总'!$H$15,"高行数",IF(E10&gt;='汇总'!$H$16,"中行数","低行数")))</x:f>
        <x:v>超高行数</x:v>
      </x:c>
      <x:c r="E10" s="43" t="n">
        <x:v>91138370194</x:v>
      </x:c>
      <x:c r="F10" s="46" t="n">
        <x:f>E10/100000000</x:f>
        <x:v>911.38370194</x:v>
      </x:c>
      <x:c r="G10" s="43" t="n">
        <x:v>110581493004845</x:v>
      </x:c>
      <x:c r="H10" s="43" t="n">
        <x:v>6873139250155</x:v>
      </x:c>
      <x:c r="I10" s="49" t="n">
        <x:f>H10/1099511627776</x:f>
        <x:v>6.251083732563529</x:v>
      </x:c>
      <x:c r="J10" s="52" t="n">
        <x:f>H10/SUM($H$5:$H$70)</x:f>
        <x:v>0.022575340491546282</x:v>
      </x:c>
      <x:c r="K10" s="52" t="n">
        <x:f>SUM($J$5:J10)</x:f>
        <x:v>0.9489381727700326</x:v>
      </x:c>
      <x:c r="L10" s="49" t="n">
        <x:f>G10/1099511627776</x:f>
        <x:v>100.57328200204665</x:v>
      </x:c>
      <x:c r="M10" s="46" t="n">
        <x:v>1213.34</x:v>
      </x:c>
      <x:c r="N10" s="46" t="n">
        <x:v>75.41</x:v>
      </x:c>
      <x:c r="O10" s="46" t="n">
        <x:v>16.09</x:v>
      </x:c>
      <x:c r="P10" s="34" t="str">
        <x:v>6.25 TiB</x:v>
      </x:c>
    </x:row>
    <x:row r="11">
      <x:c r="A11" s="37" t="n">
        <x:f>ROW()-4</x:f>
        <x:v>7</x:v>
      </x:c>
      <x:c r="B11" s="34" t="str">
        <x:v>smb_log_local</x:v>
      </x:c>
      <x:c r="C11" s="37" t="str">
        <x:f>IF(I11*1024&gt;='汇总'!$B$14,"超大表",IF(I11*1024&gt;='汇总'!$B$15,"大表",IF(I11*1024&gt;='汇总'!$B$16,"中表","小表")))</x:f>
        <x:v>超大表</x:v>
      </x:c>
      <x:c r="D11" s="37" t="str">
        <x:f>IF(E11&gt;='汇总'!$H$14,"超高行数",IF(E11&gt;='汇总'!$H$15,"高行数",IF(E11&gt;='汇总'!$H$16,"中行数","低行数")))</x:f>
        <x:v>超高行数</x:v>
      </x:c>
      <x:c r="E11" s="43" t="n">
        <x:v>123228674861</x:v>
      </x:c>
      <x:c r="F11" s="46" t="n">
        <x:f>E11/100000000</x:f>
        <x:v>1232.28674861</x:v>
      </x:c>
      <x:c r="G11" s="43" t="n">
        <x:v>87383177515365</x:v>
      </x:c>
      <x:c r="H11" s="43" t="n">
        <x:v>2543637334573</x:v>
      </x:c>
      <x:c r="I11" s="49" t="n">
        <x:f>H11/1099511627776</x:f>
        <x:v>2.3134246790259567</x:v>
      </x:c>
      <x:c r="J11" s="52" t="n">
        <x:f>H11/SUM($H$5:$H$70)</x:f>
        <x:v>0.008354767279551293</x:v>
      </x:c>
      <x:c r="K11" s="52" t="n">
        <x:f>SUM($J$5:J11)</x:f>
        <x:v>0.9572929400495839</x:v>
      </x:c>
      <x:c r="L11" s="49" t="n">
        <x:f>G11/1099511627776</x:f>
        <x:v>79.47453697430774</x:v>
      </x:c>
      <x:c r="M11" s="46" t="n">
        <x:v>709.11</x:v>
      </x:c>
      <x:c r="N11" s="46" t="n">
        <x:v>20.64</x:v>
      </x:c>
      <x:c r="O11" s="46" t="n">
        <x:v>34.35</x:v>
      </x:c>
      <x:c r="P11" s="34" t="str">
        <x:v>2.31 TiB</x:v>
      </x:c>
    </x:row>
    <x:row r="12">
      <x:c r="A12" s="37" t="n">
        <x:f>ROW()-4</x:f>
        <x:v>8</x:v>
      </x:c>
      <x:c r="B12" s="34" t="str">
        <x:v>parse_status_log_local</x:v>
      </x:c>
      <x:c r="C12" s="37" t="str">
        <x:f>IF(I12*1024&gt;='汇总'!$B$14,"超大表",IF(I12*1024&gt;='汇总'!$B$15,"大表",IF(I12*1024&gt;='汇总'!$B$16,"中表","小表")))</x:f>
        <x:v>超大表</x:v>
      </x:c>
      <x:c r="D12" s="37" t="str">
        <x:f>IF(E12&gt;='汇总'!$H$14,"超高行数",IF(E12&gt;='汇总'!$H$15,"高行数",IF(E12&gt;='汇总'!$H$16,"中行数","低行数")))</x:f>
        <x:v>超高行数</x:v>
      </x:c>
      <x:c r="E12" s="43" t="n">
        <x:v>41302052290</x:v>
      </x:c>
      <x:c r="F12" s="46" t="n">
        <x:f>E12/100000000</x:f>
        <x:v>413.0205229</x:v>
      </x:c>
      <x:c r="G12" s="43" t="n">
        <x:v>53479113749277</x:v>
      </x:c>
      <x:c r="H12" s="43" t="n">
        <x:v>2234215685128</x:v>
      </x:c>
      <x:c r="I12" s="49" t="n">
        <x:f>H12/1099511627776</x:f>
        <x:v>2.032007328241889</x:v>
      </x:c>
      <x:c r="J12" s="52" t="n">
        <x:f>H12/SUM($H$5:$H$70)</x:f>
        <x:v>0.007338448704088237</x:v>
      </x:c>
      <x:c r="K12" s="52" t="n">
        <x:f>SUM($J$5:J12)</x:f>
        <x:v>0.9646313887536722</x:v>
      </x:c>
      <x:c r="L12" s="49" t="n">
        <x:f>G12/1099511627776</x:f>
        <x:v>48.63897061047919</x:v>
      </x:c>
      <x:c r="M12" s="46" t="n">
        <x:v>1294.83</x:v>
      </x:c>
      <x:c r="N12" s="46" t="n">
        <x:v>54.09</x:v>
      </x:c>
      <x:c r="O12" s="46" t="n">
        <x:v>23.94</x:v>
      </x:c>
      <x:c r="P12" s="34" t="str">
        <x:v>2.03 TiB</x:v>
      </x:c>
    </x:row>
    <x:row r="13">
      <x:c r="A13" s="37" t="n">
        <x:f>ROW()-4</x:f>
        <x:v>9</x:v>
      </x:c>
      <x:c r="B13" s="34" t="str">
        <x:v>endpoint_security_log_local</x:v>
      </x:c>
      <x:c r="C13" s="37" t="str">
        <x:f>IF(I13*1024&gt;='汇总'!$B$14,"超大表",IF(I13*1024&gt;='汇总'!$B$15,"大表",IF(I13*1024&gt;='汇总'!$B$16,"中表","小表")))</x:f>
        <x:v>超大表</x:v>
      </x:c>
      <x:c r="D13" s="37" t="str">
        <x:f>IF(E13&gt;='汇总'!$H$14,"超高行数",IF(E13&gt;='汇总'!$H$15,"高行数",IF(E13&gt;='汇总'!$H$16,"中行数","低行数")))</x:f>
        <x:v>高行数</x:v>
      </x:c>
      <x:c r="E13" s="43" t="n">
        <x:v>5906172668</x:v>
      </x:c>
      <x:c r="F13" s="46" t="n">
        <x:f>E13/100000000</x:f>
        <x:v>59.06172668</x:v>
      </x:c>
      <x:c r="G13" s="43" t="n">
        <x:v>42113323634569</x:v>
      </x:c>
      <x:c r="H13" s="43" t="n">
        <x:v>2212049388868</x:v>
      </x:c>
      <x:c r="I13" s="49" t="n">
        <x:f>H13/1099511627776</x:f>
        <x:v>2.01184719923549</x:v>
      </x:c>
      <x:c r="J13" s="52" t="n">
        <x:f>H13/SUM($H$5:$H$70)</x:f>
        <x:v>0.007265641844326928</x:v>
      </x:c>
      <x:c r="K13" s="52" t="n">
        <x:f>SUM($J$5:J13)</x:f>
        <x:v>0.971897030597999</x:v>
      </x:c>
      <x:c r="L13" s="49" t="n">
        <x:f>G13/1099511627776</x:f>
        <x:v>38.30184471968914</x:v>
      </x:c>
      <x:c r="M13" s="46" t="n">
        <x:v>7130.39</x:v>
      </x:c>
      <x:c r="N13" s="46" t="n">
        <x:v>374.53</x:v>
      </x:c>
      <x:c r="O13" s="46" t="n">
        <x:v>19.04</x:v>
      </x:c>
      <x:c r="P13" s="34" t="str">
        <x:v>2.01 TiB</x:v>
      </x:c>
    </x:row>
    <x:row r="14">
      <x:c r="A14" s="37" t="n">
        <x:f>ROW()-4</x:f>
        <x:v>10</x:v>
      </x:c>
      <x:c r="B14" s="34" t="str">
        <x:v>icmp_log_local</x:v>
      </x:c>
      <x:c r="C14" s="37" t="str">
        <x:f>IF(I14*1024&gt;='汇总'!$B$14,"超大表",IF(I14*1024&gt;='汇总'!$B$15,"大表",IF(I14*1024&gt;='汇总'!$B$16,"中表","小表")))</x:f>
        <x:v>超大表</x:v>
      </x:c>
      <x:c r="D14" s="37" t="str">
        <x:f>IF(E14&gt;='汇总'!$H$14,"超高行数",IF(E14&gt;='汇总'!$H$15,"高行数",IF(E14&gt;='汇总'!$H$16,"中行数","低行数")))</x:f>
        <x:v>超高行数</x:v>
      </x:c>
      <x:c r="E14" s="43" t="n">
        <x:v>94081030042</x:v>
      </x:c>
      <x:c r="F14" s="46" t="n">
        <x:f>E14/100000000</x:f>
        <x:v>940.81030042</x:v>
      </x:c>
      <x:c r="G14" s="43" t="n">
        <x:v>85181770834420</x:v>
      </x:c>
      <x:c r="H14" s="43" t="n">
        <x:v>2121326679255</x:v>
      </x:c>
      <x:c r="I14" s="49" t="n">
        <x:f>H14/1099511627776</x:f>
        <x:v>1.9293353755119824</x:v>
      </x:c>
      <x:c r="J14" s="52" t="n">
        <x:f>H14/SUM($H$5:$H$70)</x:f>
        <x:v>0.0069676563117650825</x:v>
      </x:c>
      <x:c r="K14" s="52" t="n">
        <x:f>SUM($J$5:J14)</x:f>
        <x:v>0.9788646869097641</x:v>
      </x:c>
      <x:c r="L14" s="49" t="n">
        <x:f>G14/1099511627776</x:f>
        <x:v>77.47236926154073</x:v>
      </x:c>
      <x:c r="M14" s="46" t="n">
        <x:v>905.41</x:v>
      </x:c>
      <x:c r="N14" s="46" t="n">
        <x:v>22.55</x:v>
      </x:c>
      <x:c r="O14" s="46" t="n">
        <x:v>40.15</x:v>
      </x:c>
      <x:c r="P14" s="34" t="str">
        <x:v>1.93 TiB</x:v>
      </x:c>
    </x:row>
    <x:row r="15">
      <x:c r="A15" s="37" t="n">
        <x:f>ROW()-4</x:f>
        <x:v>11</x:v>
      </x:c>
      <x:c r="B15" s="34" t="str">
        <x:v>asset_log_local</x:v>
      </x:c>
      <x:c r="C15" s="37" t="str">
        <x:f>IF(I15*1024&gt;='汇总'!$B$14,"超大表",IF(I15*1024&gt;='汇总'!$B$15,"大表",IF(I15*1024&gt;='汇总'!$B$16,"中表","小表")))</x:f>
        <x:v>超大表</x:v>
      </x:c>
      <x:c r="D15" s="37" t="str">
        <x:f>IF(E15&gt;='汇总'!$H$14,"超高行数",IF(E15&gt;='汇总'!$H$15,"高行数",IF(E15&gt;='汇总'!$H$16,"中行数","低行数")))</x:f>
        <x:v>高行数</x:v>
      </x:c>
      <x:c r="E15" s="43" t="n">
        <x:v>5958425610</x:v>
      </x:c>
      <x:c r="F15" s="46" t="n">
        <x:f>E15/100000000</x:f>
        <x:v>59.5842561</x:v>
      </x:c>
      <x:c r="G15" s="43" t="n">
        <x:v>35581803533519</x:v>
      </x:c>
      <x:c r="H15" s="43" t="n">
        <x:v>1957108424390</x:v>
      </x:c>
      <x:c r="I15" s="49" t="n">
        <x:f>H15/1099511627776</x:f>
        <x:v>1.7799797427778685</x:v>
      </x:c>
      <x:c r="J15" s="52" t="n">
        <x:f>H15/SUM($H$5:$H$70)</x:f>
        <x:v>0.006428269157864295</x:v>
      </x:c>
      <x:c r="K15" s="52" t="n">
        <x:f>SUM($J$5:J15)</x:f>
        <x:v>0.9852929560676285</x:v>
      </x:c>
      <x:c r="L15" s="49" t="n">
        <x:f>G15/1099511627776</x:f>
        <x:v>32.36146179326079</x:v>
      </x:c>
      <x:c r="M15" s="46" t="n">
        <x:v>5971.68</x:v>
      </x:c>
      <x:c r="N15" s="46" t="n">
        <x:v>328.46</x:v>
      </x:c>
      <x:c r="O15" s="46" t="n">
        <x:v>18.18</x:v>
      </x:c>
      <x:c r="P15" s="34" t="str">
        <x:v>1.78 TiB</x:v>
      </x:c>
    </x:row>
    <x:row r="16">
      <x:c r="A16" s="37" t="n">
        <x:f>ROW()-4</x:f>
        <x:v>12</x:v>
      </x:c>
      <x:c r="B16" s="34" t="str">
        <x:v>snmp_log_local</x:v>
      </x:c>
      <x:c r="C16" s="37" t="str">
        <x:f>IF(I16*1024&gt;='汇总'!$B$14,"超大表",IF(I16*1024&gt;='汇总'!$B$15,"大表",IF(I16*1024&gt;='汇总'!$B$16,"中表","小表")))</x:f>
        <x:v>超大表</x:v>
      </x:c>
      <x:c r="D16" s="37" t="str">
        <x:f>IF(E16&gt;='汇总'!$H$14,"超高行数",IF(E16&gt;='汇总'!$H$15,"高行数",IF(E16&gt;='汇总'!$H$16,"中行数","低行数")))</x:f>
        <x:v>超高行数</x:v>
      </x:c>
      <x:c r="E16" s="43" t="n">
        <x:v>20469188272</x:v>
      </x:c>
      <x:c r="F16" s="46" t="n">
        <x:f>E16/100000000</x:f>
        <x:v>204.69188272</x:v>
      </x:c>
      <x:c r="G16" s="43" t="n">
        <x:v>21137956624262</x:v>
      </x:c>
      <x:c r="H16" s="43" t="n">
        <x:v>1101966988861</x:v>
      </x:c>
      <x:c r="I16" s="49" t="n">
        <x:f>H16/1099511627776</x:f>
        <x:v>1.002233137897747</x:v>
      </x:c>
      <x:c r="J16" s="52" t="n">
        <x:f>H16/SUM($H$5:$H$70)</x:f>
        <x:v>0.003619493084389356</x:v>
      </x:c>
      <x:c r="K16" s="52" t="n">
        <x:f>SUM($J$5:J16)</x:f>
        <x:v>0.9889124491520178</x:v>
      </x:c>
      <x:c r="L16" s="49" t="n">
        <x:f>G16/1099511627776</x:f>
        <x:v>19.22485955607226</x:v>
      </x:c>
      <x:c r="M16" s="46" t="n">
        <x:v>1032.67</x:v>
      </x:c>
      <x:c r="N16" s="46" t="n">
        <x:v>53.84</x:v>
      </x:c>
      <x:c r="O16" s="46" t="n">
        <x:v>19.18</x:v>
      </x:c>
      <x:c r="P16" s="34" t="str">
        <x:v>1.00 TiB</x:v>
      </x:c>
    </x:row>
    <x:row r="17">
      <x:c r="A17" s="37" t="n">
        <x:f>ROW()-4</x:f>
        <x:v>13</x:v>
      </x:c>
      <x:c r="B17" s="34" t="str">
        <x:v>http_login_log_local</x:v>
      </x:c>
      <x:c r="C17" s="37" t="str">
        <x:f>IF(I17*1024&gt;='汇总'!$B$14,"超大表",IF(I17*1024&gt;='汇总'!$B$15,"大表",IF(I17*1024&gt;='汇总'!$B$16,"中表","小表")))</x:f>
        <x:v>大表</x:v>
      </x:c>
      <x:c r="D17" s="37" t="str">
        <x:f>IF(E17&gt;='汇总'!$H$14,"超高行数",IF(E17&gt;='汇总'!$H$15,"高行数",IF(E17&gt;='汇总'!$H$16,"中行数","低行数")))</x:f>
        <x:v>高行数</x:v>
      </x:c>
      <x:c r="E17" s="43" t="n">
        <x:v>3300822497</x:v>
      </x:c>
      <x:c r="F17" s="46" t="n">
        <x:f>E17/100000000</x:f>
        <x:v>33.00822497</x:v>
      </x:c>
      <x:c r="G17" s="43" t="n">
        <x:v>11626861920734</x:v>
      </x:c>
      <x:c r="H17" s="43" t="n">
        <x:v>517509197734</x:v>
      </x:c>
      <x:c r="I17" s="49" t="n">
        <x:f>H17/1099511627776</x:f>
        <x:v>0.4706718734578317</x:v>
      </x:c>
      <x:c r="J17" s="52" t="n">
        <x:f>H17/SUM($H$5:$H$70)</x:f>
        <x:v>0.0016997977083162592</x:v>
      </x:c>
      <x:c r="K17" s="52" t="n">
        <x:f>SUM($J$5:J17)</x:f>
        <x:v>0.9906122468603341</x:v>
      </x:c>
      <x:c r="L17" s="49" t="n">
        <x:f>G17/1099511627776</x:f>
        <x:v>10.574569315152985</x:v>
      </x:c>
      <x:c r="M17" s="46" t="n">
        <x:v>3522.41</x:v>
      </x:c>
      <x:c r="N17" s="46" t="n">
        <x:v>156.78</x:v>
      </x:c>
      <x:c r="O17" s="46" t="n">
        <x:v>22.47</x:v>
      </x:c>
      <x:c r="P17" s="34" t="str">
        <x:v>481.97 GiB</x:v>
      </x:c>
    </x:row>
    <x:row r="18">
      <x:c r="A18" s="37" t="n">
        <x:f>ROW()-4</x:f>
        <x:v>14</x:v>
      </x:c>
      <x:c r="B18" s="34" t="str">
        <x:v>endpoint_behavior_log_local</x:v>
      </x:c>
      <x:c r="C18" s="37" t="str">
        <x:f>IF(I18*1024&gt;='汇总'!$B$14,"超大表",IF(I18*1024&gt;='汇总'!$B$15,"大表",IF(I18*1024&gt;='汇总'!$B$16,"中表","小表")))</x:f>
        <x:v>大表</x:v>
      </x:c>
      <x:c r="D18" s="37" t="str">
        <x:f>IF(E18&gt;='汇总'!$H$14,"超高行数",IF(E18&gt;='汇总'!$H$15,"高行数",IF(E18&gt;='汇总'!$H$16,"中行数","低行数")))</x:f>
        <x:v>高行数</x:v>
      </x:c>
      <x:c r="E18" s="43" t="n">
        <x:v>5353875581</x:v>
      </x:c>
      <x:c r="F18" s="46" t="n">
        <x:f>E18/100000000</x:f>
        <x:v>53.53875581</x:v>
      </x:c>
      <x:c r="G18" s="43" t="n">
        <x:v>15443202318515</x:v>
      </x:c>
      <x:c r="H18" s="43" t="n">
        <x:v>369755519900</x:v>
      </x:c>
      <x:c r="I18" s="49" t="n">
        <x:f>H18/1099511627776</x:f>
        <x:v>0.33629068630034453</x:v>
      </x:c>
      <x:c r="J18" s="52" t="n">
        <x:f>H18/SUM($H$5:$H$70)</x:f>
        <x:v>0.0012144896904544705</x:v>
      </x:c>
      <x:c r="K18" s="52" t="n">
        <x:f>SUM($J$5:J18)</x:f>
        <x:v>0.9918267365507886</x:v>
      </x:c>
      <x:c r="L18" s="49" t="n">
        <x:f>G18/1099511627776</x:f>
        <x:v>14.045510687096794</x:v>
      </x:c>
      <x:c r="M18" s="46" t="n">
        <x:v>2884.49</x:v>
      </x:c>
      <x:c r="N18" s="46" t="n">
        <x:v>69.06</x:v>
      </x:c>
      <x:c r="O18" s="46" t="n">
        <x:v>41.77</x:v>
      </x:c>
      <x:c r="P18" s="34" t="str">
        <x:v>344.36 GiB</x:v>
      </x:c>
    </x:row>
    <x:row r="19">
      <x:c r="A19" s="37" t="n">
        <x:f>ROW()-4</x:f>
        <x:v>15</x:v>
      </x:c>
      <x:c r="B19" s="34" t="str">
        <x:v>dhcp_log_local</x:v>
      </x:c>
      <x:c r="C19" s="37" t="str">
        <x:f>IF(I19*1024&gt;='汇总'!$B$14,"超大表",IF(I19*1024&gt;='汇总'!$B$15,"大表",IF(I19*1024&gt;='汇总'!$B$16,"中表","小表")))</x:f>
        <x:v>大表</x:v>
      </x:c>
      <x:c r="D19" s="37" t="str">
        <x:f>IF(E19&gt;='汇总'!$H$14,"超高行数",IF(E19&gt;='汇总'!$H$15,"高行数",IF(E19&gt;='汇总'!$H$16,"中行数","低行数")))</x:f>
        <x:v>高行数</x:v>
      </x:c>
      <x:c r="E19" s="43" t="n">
        <x:v>8550861337</x:v>
      </x:c>
      <x:c r="F19" s="46" t="n">
        <x:f>E19/100000000</x:f>
        <x:v>85.50861337</x:v>
      </x:c>
      <x:c r="G19" s="43" t="n">
        <x:v>6422790363916</x:v>
      </x:c>
      <x:c r="H19" s="43" t="n">
        <x:v>296866208306</x:v>
      </x:c>
      <x:c r="I19" s="49" t="n">
        <x:f>H19/1099511627776</x:f>
        <x:v>0.26999824358972546</x:v>
      </x:c>
      <x:c r="J19" s="52" t="n">
        <x:f>H19/SUM($H$5:$H$70)</x:f>
        <x:v>0.0009750792889568064</x:v>
      </x:c>
      <x:c r="K19" s="52" t="n">
        <x:f>SUM($J$5:J19)</x:f>
        <x:v>0.9928018158397454</x:v>
      </x:c>
      <x:c r="L19" s="49" t="n">
        <x:f>G19/1099511627776</x:f>
        <x:v>5.84149380657982</x:v>
      </x:c>
      <x:c r="M19" s="46" t="n">
        <x:v>751.13</x:v>
      </x:c>
      <x:c r="N19" s="46" t="n">
        <x:v>34.72</x:v>
      </x:c>
      <x:c r="O19" s="46" t="n">
        <x:v>21.64</x:v>
      </x:c>
      <x:c r="P19" s="34" t="str">
        <x:v>276.48 GiB</x:v>
      </x:c>
    </x:row>
    <x:row r="20">
      <x:c r="A20" s="37" t="n">
        <x:f>ROW()-4</x:f>
        <x:v>16</x:v>
      </x:c>
      <x:c r="B20" s="34" t="str">
        <x:v>sip_log_local</x:v>
      </x:c>
      <x:c r="C20" s="37" t="str">
        <x:f>IF(I20*1024&gt;='汇总'!$B$14,"超大表",IF(I20*1024&gt;='汇总'!$B$15,"大表",IF(I20*1024&gt;='汇总'!$B$16,"中表","小表")))</x:f>
        <x:v>大表</x:v>
      </x:c>
      <x:c r="D20" s="37" t="str">
        <x:f>IF(E20&gt;='汇总'!$H$14,"超高行数",IF(E20&gt;='汇总'!$H$15,"高行数",IF(E20&gt;='汇总'!$H$16,"中行数","低行数")))</x:f>
        <x:v>高行数</x:v>
      </x:c>
      <x:c r="E20" s="43" t="n">
        <x:v>5148660905</x:v>
      </x:c>
      <x:c r="F20" s="46" t="n">
        <x:f>E20/100000000</x:f>
        <x:v>51.48660905</x:v>
      </x:c>
      <x:c r="G20" s="43" t="n">
        <x:v>5326369127297</x:v>
      </x:c>
      <x:c r="H20" s="43" t="n">
        <x:v>287180050907</x:v>
      </x:c>
      <x:c r="I20" s="49" t="n">
        <x:f>H20/1099511627776</x:f>
        <x:v>0.2611887347547963</x:v>
      </x:c>
      <x:c r="J20" s="52" t="n">
        <x:f>H20/SUM($H$5:$H$70)</x:f>
        <x:v>0.000943264379731418</x:v>
      </x:c>
      <x:c r="K20" s="52" t="n">
        <x:f>SUM($J$5:J20)</x:f>
        <x:v>0.9937450802194768</x:v>
      </x:c>
      <x:c r="L20" s="49" t="n">
        <x:f>G20/1099511627776</x:f>
        <x:v>4.844304500963517</x:v>
      </x:c>
      <x:c r="M20" s="46" t="n">
        <x:v>1034.52</x:v>
      </x:c>
      <x:c r="N20" s="46" t="n">
        <x:v>55.78</x:v>
      </x:c>
      <x:c r="O20" s="46" t="n">
        <x:v>18.55</x:v>
      </x:c>
      <x:c r="P20" s="34" t="str">
        <x:v>267.46 GiB</x:v>
      </x:c>
    </x:row>
    <x:row r="21">
      <x:c r="A21" s="37" t="n">
        <x:f>ROW()-4</x:f>
        <x:v>17</x:v>
      </x:c>
      <x:c r="B21" s="34" t="str">
        <x:v>rdp_log_local</x:v>
      </x:c>
      <x:c r="C21" s="37" t="str">
        <x:f>IF(I21*1024&gt;='汇总'!$B$14,"超大表",IF(I21*1024&gt;='汇总'!$B$15,"大表",IF(I21*1024&gt;='汇总'!$B$16,"中表","小表")))</x:f>
        <x:v>大表</x:v>
      </x:c>
      <x:c r="D21" s="37" t="str">
        <x:f>IF(E21&gt;='汇总'!$H$14,"超高行数",IF(E21&gt;='汇总'!$H$15,"高行数",IF(E21&gt;='汇总'!$H$16,"中行数","低行数")))</x:f>
        <x:v>超高行数</x:v>
      </x:c>
      <x:c r="E21" s="43" t="n">
        <x:v>10489746999</x:v>
      </x:c>
      <x:c r="F21" s="46" t="n">
        <x:f>E21/100000000</x:f>
        <x:v>104.89746999</x:v>
      </x:c>
      <x:c r="G21" s="43" t="n">
        <x:v>7346008414887</x:v>
      </x:c>
      <x:c r="H21" s="43" t="n">
        <x:v>284749540701</x:v>
      </x:c>
      <x:c r="I21" s="49" t="n">
        <x:f>H21/1099511627776</x:f>
        <x:v>0.2589781985998343</x:v>
      </x:c>
      <x:c r="J21" s="52" t="n">
        <x:f>H21/SUM($H$5:$H$70)</x:f>
        <x:v>0.0009352811869760275</x:v>
      </x:c>
      <x:c r="K21" s="52" t="n">
        <x:f>SUM($J$5:J21)</x:f>
        <x:v>0.9946803614064529</x:v>
      </x:c>
      <x:c r="L21" s="49" t="n">
        <x:f>G21/1099511627776</x:f>
        <x:v>6.681155732519073</x:v>
      </x:c>
      <x:c r="M21" s="46" t="n">
        <x:v>700.3</x:v>
      </x:c>
      <x:c r="N21" s="46" t="n">
        <x:v>27.15</x:v>
      </x:c>
      <x:c r="O21" s="46" t="n">
        <x:v>25.8</x:v>
      </x:c>
      <x:c r="P21" s="34" t="str">
        <x:v>265.19 GiB</x:v>
      </x:c>
    </x:row>
    <x:row r="22">
      <x:c r="A22" s="37" t="n">
        <x:f>ROW()-4</x:f>
        <x:v>18</x:v>
      </x:c>
      <x:c r="B22" s="34" t="str">
        <x:v>mysql_log_local</x:v>
      </x:c>
      <x:c r="C22" s="37" t="str">
        <x:f>IF(I22*1024&gt;='汇总'!$B$14,"超大表",IF(I22*1024&gt;='汇总'!$B$15,"大表",IF(I22*1024&gt;='汇总'!$B$16,"中表","小表")))</x:f>
        <x:v>大表</x:v>
      </x:c>
      <x:c r="D22" s="37" t="str">
        <x:f>IF(E22&gt;='汇总'!$H$14,"超高行数",IF(E22&gt;='汇总'!$H$15,"高行数",IF(E22&gt;='汇总'!$H$16,"中行数","低行数")))</x:f>
        <x:v>高行数</x:v>
      </x:c>
      <x:c r="E22" s="43" t="n">
        <x:v>8105607102</x:v>
      </x:c>
      <x:c r="F22" s="46" t="n">
        <x:f>E22/100000000</x:f>
        <x:v>81.05607102</x:v>
      </x:c>
      <x:c r="G22" s="43" t="n">
        <x:v>13751438294844</x:v>
      </x:c>
      <x:c r="H22" s="43" t="n">
        <x:v>239776721554</x:v>
      </x:c>
      <x:c r="I22" s="49" t="n">
        <x:f>H22/1099511627776</x:f>
        <x:v>0.21807565786184568</x:v>
      </x:c>
      <x:c r="J22" s="52" t="n">
        <x:f>H22/SUM($H$5:$H$70)</x:f>
        <x:v>0.0007875645951602336</x:v>
      </x:c>
      <x:c r="K22" s="52" t="n">
        <x:f>SUM($J$5:J22)</x:f>
        <x:v>0.9954679260016132</x:v>
      </x:c>
      <x:c r="L22" s="49" t="n">
        <x:f>G22/1099511627776</x:f>
        <x:v>12.506860270917969</x:v>
      </x:c>
      <x:c r="M22" s="46" t="n">
        <x:v>1696.53</x:v>
      </x:c>
      <x:c r="N22" s="46" t="n">
        <x:v>29.58</x:v>
      </x:c>
      <x:c r="O22" s="46" t="n">
        <x:v>57.35</x:v>
      </x:c>
      <x:c r="P22" s="34" t="str">
        <x:v>223.31 GiB</x:v>
      </x:c>
    </x:row>
    <x:row r="23">
      <x:c r="A23" s="37" t="n">
        <x:f>ROW()-4</x:f>
        <x:v>19</x:v>
      </x:c>
      <x:c r="B23" s="34" t="str">
        <x:v>redis_log_local</x:v>
      </x:c>
      <x:c r="C23" s="37" t="str">
        <x:f>IF(I23*1024&gt;='汇总'!$B$14,"超大表",IF(I23*1024&gt;='汇总'!$B$15,"大表",IF(I23*1024&gt;='汇总'!$B$16,"中表","小表")))</x:f>
        <x:v>大表</x:v>
      </x:c>
      <x:c r="D23" s="37" t="str">
        <x:f>IF(E23&gt;='汇总'!$H$14,"超高行数",IF(E23&gt;='汇总'!$H$15,"高行数",IF(E23&gt;='汇总'!$H$16,"中行数","低行数")))</x:f>
        <x:v>高行数</x:v>
      </x:c>
      <x:c r="E23" s="43" t="n">
        <x:v>9757749599</x:v>
      </x:c>
      <x:c r="F23" s="46" t="n">
        <x:f>E23/100000000</x:f>
        <x:v>97.57749599</x:v>
      </x:c>
      <x:c r="G23" s="43" t="n">
        <x:v>7760874799830</x:v>
      </x:c>
      <x:c r="H23" s="43" t="n">
        <x:v>238869169620</x:v>
      </x:c>
      <x:c r="I23" s="49" t="n">
        <x:f>H23/1099511627776</x:f>
        <x:v>0.2172502441862889</x:v>
      </x:c>
      <x:c r="J23" s="52" t="n">
        <x:f>H23/SUM($H$5:$H$70)</x:f>
        <x:v>0.000784583672880309</x:v>
      </x:c>
      <x:c r="K23" s="52" t="n">
        <x:f>SUM($J$5:J23)</x:f>
        <x:v>0.9962525096744934</x:v>
      </x:c>
      <x:c r="L23" s="49" t="n">
        <x:f>G23/1099511627776</x:f>
        <x:v>7.05847451156842</x:v>
      </x:c>
      <x:c r="M23" s="46" t="n">
        <x:v>795.35</x:v>
      </x:c>
      <x:c r="N23" s="46" t="n">
        <x:v>24.48</x:v>
      </x:c>
      <x:c r="O23" s="46" t="n">
        <x:v>32.49</x:v>
      </x:c>
      <x:c r="P23" s="34" t="str">
        <x:v>222.46 GiB</x:v>
      </x:c>
    </x:row>
    <x:row r="24">
      <x:c r="A24" s="37" t="n">
        <x:f>ROW()-4</x:f>
        <x:v>20</x:v>
      </x:c>
      <x:c r="B24" s="34" t="str">
        <x:v>endpoint_telemetry_behavior_log_local</x:v>
      </x:c>
      <x:c r="C24" s="37" t="str">
        <x:f>IF(I24*1024&gt;='汇总'!$B$14,"超大表",IF(I24*1024&gt;='汇总'!$B$15,"大表",IF(I24*1024&gt;='汇总'!$B$16,"中表","小表")))</x:f>
        <x:v>大表</x:v>
      </x:c>
      <x:c r="D24" s="37" t="str">
        <x:f>IF(E24&gt;='汇总'!$H$14,"超高行数",IF(E24&gt;='汇总'!$H$15,"高行数",IF(E24&gt;='汇总'!$H$16,"中行数","低行数")))</x:f>
        <x:v>中行数</x:v>
      </x:c>
      <x:c r="E24" s="43" t="n">
        <x:v>576934189</x:v>
      </x:c>
      <x:c r="F24" s="46" t="n">
        <x:f>E24/100000000</x:f>
        <x:v>5.76934189</x:v>
      </x:c>
      <x:c r="G24" s="43" t="n">
        <x:v>2918064612190</x:v>
      </x:c>
      <x:c r="H24" s="43" t="n">
        <x:v>191321142824</x:v>
      </x:c>
      <x:c r="I24" s="49" t="n">
        <x:f>H24/1099511627776</x:f>
        <x:v>0.1740055657355697</x:v>
      </x:c>
      <x:c r="J24" s="52" t="n">
        <x:f>H24/SUM($H$5:$H$70)</x:f>
        <x:v>0.0006284086187234099</x:v>
      </x:c>
      <x:c r="K24" s="52" t="n">
        <x:f>SUM($J$5:J24)</x:f>
        <x:v>0.9968809182932168</x:v>
      </x:c>
      <x:c r="L24" s="49" t="n">
        <x:f>G24/1099511627776</x:f>
        <x:v>2.6539643042178795</x:v>
      </x:c>
      <x:c r="M24" s="46" t="n">
        <x:v>5057.88</x:v>
      </x:c>
      <x:c r="N24" s="46" t="n">
        <x:v>331.62</x:v>
      </x:c>
      <x:c r="O24" s="46" t="n">
        <x:v>15.25</x:v>
      </x:c>
      <x:c r="P24" s="34" t="str">
        <x:v>178.18 GiB</x:v>
      </x:c>
    </x:row>
    <x:row r="25">
      <x:c r="A25" s="37" t="n">
        <x:f>ROW()-4</x:f>
        <x:v>21</x:v>
      </x:c>
      <x:c r="B25" s="34" t="str">
        <x:v>alert_relation_log_local</x:v>
      </x:c>
      <x:c r="C25" s="37" t="str">
        <x:f>IF(I25*1024&gt;='汇总'!$B$14,"超大表",IF(I25*1024&gt;='汇总'!$B$15,"大表",IF(I25*1024&gt;='汇总'!$B$16,"中表","小表")))</x:f>
        <x:v>大表</x:v>
      </x:c>
      <x:c r="D25" s="37" t="str">
        <x:f>IF(E25&gt;='汇总'!$H$14,"超高行数",IF(E25&gt;='汇总'!$H$15,"高行数",IF(E25&gt;='汇总'!$H$16,"中行数","低行数")))</x:f>
        <x:v>超高行数</x:v>
      </x:c>
      <x:c r="E25" s="43" t="n">
        <x:v>30121004695</x:v>
      </x:c>
      <x:c r="F25" s="46" t="n">
        <x:f>E25/100000000</x:f>
        <x:v>301.21004695</x:v>
      </x:c>
      <x:c r="G25" s="43" t="n">
        <x:v>6391767286258</x:v>
      </x:c>
      <x:c r="H25" s="43" t="n">
        <x:v>180677624026</x:v>
      </x:c>
      <x:c r="I25" s="49" t="n">
        <x:f>H25/1099511627776</x:f>
        <x:v>0.16432534178056812</x:v>
      </x:c>
      <x:c r="J25" s="52" t="n">
        <x:f>H25/SUM($H$5:$H$70)</x:f>
        <x:v>0.0005934491843008344</x:v>
      </x:c>
      <x:c r="K25" s="52" t="n">
        <x:f>SUM($J$5:J25)</x:f>
        <x:v>0.9974743674775176</x:v>
      </x:c>
      <x:c r="L25" s="49" t="n">
        <x:f>G25/1099511627776</x:f>
        <x:v>5.8132784818171785</x:v>
      </x:c>
      <x:c r="M25" s="46" t="n">
        <x:v>212.2</x:v>
      </x:c>
      <x:c r="N25" s="46" t="n">
        <x:v>6</x:v>
      </x:c>
      <x:c r="O25" s="46" t="n">
        <x:v>35.38</x:v>
      </x:c>
      <x:c r="P25" s="34" t="str">
        <x:v>168.27 GiB</x:v>
      </x:c>
    </x:row>
    <x:row r="26">
      <x:c r="A26" s="37" t="n">
        <x:f>ROW()-4</x:f>
        <x:v>22</x:v>
      </x:c>
      <x:c r="B26" s="34" t="str">
        <x:v>operation_log_local</x:v>
      </x:c>
      <x:c r="C26" s="37" t="str">
        <x:f>IF(I26*1024&gt;='汇总'!$B$14,"超大表",IF(I26*1024&gt;='汇总'!$B$15,"大表",IF(I26*1024&gt;='汇总'!$B$16,"中表","小表")))</x:f>
        <x:v>大表</x:v>
      </x:c>
      <x:c r="D26" s="37" t="str">
        <x:f>IF(E26&gt;='汇总'!$H$14,"超高行数",IF(E26&gt;='汇总'!$H$15,"高行数",IF(E26&gt;='汇总'!$H$16,"中行数","低行数")))</x:f>
        <x:v>高行数</x:v>
      </x:c>
      <x:c r="E26" s="43" t="n">
        <x:v>1519584860</x:v>
      </x:c>
      <x:c r="F26" s="46" t="n">
        <x:f>E26/100000000</x:f>
        <x:v>15.1958486</x:v>
      </x:c>
      <x:c r="G26" s="43" t="n">
        <x:v>2643737027479</x:v>
      </x:c>
      <x:c r="H26" s="43" t="n">
        <x:v>116768671936</x:v>
      </x:c>
      <x:c r="I26" s="49" t="n">
        <x:f>H26/1099511627776</x:f>
        <x:v>0.10620048845885321</x:v>
      </x:c>
      <x:c r="J26" s="52" t="n">
        <x:f>H26/SUM($H$5:$H$70)</x:f>
        <x:v>0.0003835354459960078</x:v>
      </x:c>
      <x:c r="K26" s="52" t="n">
        <x:f>SUM($J$5:J26)</x:f>
        <x:v>0.9978579029235136</x:v>
      </x:c>
      <x:c r="L26" s="49" t="n">
        <x:f>G26/1099511627776</x:f>
        <x:v>2.404464819373061</x:v>
      </x:c>
      <x:c r="M26" s="46" t="n">
        <x:v>1739.78</x:v>
      </x:c>
      <x:c r="N26" s="46" t="n">
        <x:v>76.84</x:v>
      </x:c>
      <x:c r="O26" s="46" t="n">
        <x:v>22.64</x:v>
      </x:c>
      <x:c r="P26" s="34" t="str">
        <x:v>108.75 GiB</x:v>
      </x:c>
    </x:row>
    <x:row r="27">
      <x:c r="A27" s="37" t="n">
        <x:f>ROW()-4</x:f>
        <x:v>23</x:v>
      </x:c>
      <x:c r="B27" s="34" t="str">
        <x:v>oracle_log_local</x:v>
      </x:c>
      <x:c r="C27" s="37" t="str">
        <x:f>IF(I27*1024&gt;='汇总'!$B$14,"超大表",IF(I27*1024&gt;='汇总'!$B$15,"大表",IF(I27*1024&gt;='汇总'!$B$16,"中表","小表")))</x:f>
        <x:v>中表</x:v>
      </x:c>
      <x:c r="D27" s="37" t="str">
        <x:f>IF(E27&gt;='汇总'!$H$14,"超高行数",IF(E27&gt;='汇总'!$H$15,"高行数",IF(E27&gt;='汇总'!$H$16,"中行数","低行数")))</x:f>
        <x:v>高行数</x:v>
      </x:c>
      <x:c r="E27" s="43" t="n">
        <x:v>3630008222</x:v>
      </x:c>
      <x:c r="F27" s="46" t="n">
        <x:f>E27/100000000</x:f>
        <x:v>36.30008222</x:v>
      </x:c>
      <x:c r="G27" s="43" t="n">
        <x:v>3381121253142</x:v>
      </x:c>
      <x:c r="H27" s="43" t="n">
        <x:v>88253568745</x:v>
      </x:c>
      <x:c r="I27" s="49" t="n">
        <x:f>H27/1099511627776</x:f>
        <x:v>0.0802661531861304</x:v>
      </x:c>
      <x:c r="J27" s="52" t="n">
        <x:f>H27/SUM($H$5:$H$70)</x:f>
        <x:v>0.00028987545450465465</x:v>
      </x:c>
      <x:c r="K27" s="52" t="n">
        <x:f>SUM($J$5:J27)</x:f>
        <x:v>0.9981477783780183</x:v>
      </x:c>
      <x:c r="L27" s="49" t="n">
        <x:f>G27/1099511627776</x:f>
        <x:v>3.0751118657844927</x:v>
      </x:c>
      <x:c r="M27" s="46" t="n">
        <x:v>931.44</x:v>
      </x:c>
      <x:c r="N27" s="46" t="n">
        <x:v>24.31</x:v>
      </x:c>
      <x:c r="O27" s="46" t="n">
        <x:v>38.31</x:v>
      </x:c>
      <x:c r="P27" s="34" t="str">
        <x:v>82.19 GiB</x:v>
      </x:c>
    </x:row>
    <x:row r="28">
      <x:c r="A28" s="37" t="n">
        <x:f>ROW()-4</x:f>
        <x:v>24</x:v>
      </x:c>
      <x:c r="B28" s="34" t="str">
        <x:v>sql_server_log_local</x:v>
      </x:c>
      <x:c r="C28" s="37" t="str">
        <x:f>IF(I28*1024&gt;='汇总'!$B$14,"超大表",IF(I28*1024&gt;='汇总'!$B$15,"大表",IF(I28*1024&gt;='汇总'!$B$16,"中表","小表")))</x:f>
        <x:v>中表</x:v>
      </x:c>
      <x:c r="D28" s="37" t="str">
        <x:f>IF(E28&gt;='汇总'!$H$14,"超高行数",IF(E28&gt;='汇总'!$H$15,"高行数",IF(E28&gt;='汇总'!$H$16,"中行数","低行数")))</x:f>
        <x:v>高行数</x:v>
      </x:c>
      <x:c r="E28" s="43" t="n">
        <x:v>3959201320</x:v>
      </x:c>
      <x:c r="F28" s="46" t="n">
        <x:f>E28/100000000</x:f>
        <x:v>39.5920132</x:v>
      </x:c>
      <x:c r="G28" s="43" t="n">
        <x:v>5478270975175</x:v>
      </x:c>
      <x:c r="H28" s="43" t="n">
        <x:v>85439047220</x:v>
      </x:c>
      <x:c r="I28" s="49" t="n">
        <x:f>H28/1099511627776</x:f>
        <x:v>0.07770636077111703</x:v>
      </x:c>
      <x:c r="J28" s="52" t="n">
        <x:f>H28/SUM($H$5:$H$70)</x:f>
        <x:v>0.00028063094781926657</x:v>
      </x:c>
      <x:c r="K28" s="52" t="n">
        <x:f>SUM($J$5:J28)</x:f>
        <x:v>0.9984284093258375</x:v>
      </x:c>
      <x:c r="L28" s="49" t="n">
        <x:f>G28/1099511627776</x:f>
        <x:v>4.982458426798075</x:v>
      </x:c>
      <x:c r="M28" s="46" t="n">
        <x:v>1383.68</x:v>
      </x:c>
      <x:c r="N28" s="46" t="n">
        <x:v>21.58</x:v>
      </x:c>
      <x:c r="O28" s="46" t="n">
        <x:v>64.12</x:v>
      </x:c>
      <x:c r="P28" s="34" t="str">
        <x:v>79.57 GiB</x:v>
      </x:c>
    </x:row>
    <x:row r="29">
      <x:c r="A29" s="37" t="n">
        <x:f>ROW()-4</x:f>
        <x:v>25</x:v>
      </x:c>
      <x:c r="B29" s="34" t="str">
        <x:v>other_log_local</x:v>
      </x:c>
      <x:c r="C29" s="37" t="str">
        <x:f>IF(I29*1024&gt;='汇总'!$B$14,"超大表",IF(I29*1024&gt;='汇总'!$B$15,"大表",IF(I29*1024&gt;='汇总'!$B$16,"中表","小表")))</x:f>
        <x:v>中表</x:v>
      </x:c>
      <x:c r="D29" s="37" t="str">
        <x:f>IF(E29&gt;='汇总'!$H$14,"超高行数",IF(E29&gt;='汇总'!$H$15,"高行数",IF(E29&gt;='汇总'!$H$16,"中行数","低行数")))</x:f>
        <x:v>中行数</x:v>
      </x:c>
      <x:c r="E29" s="43" t="n">
        <x:v>364615493</x:v>
      </x:c>
      <x:c r="F29" s="46" t="n">
        <x:f>E29/100000000</x:f>
        <x:v>3.64615493</x:v>
      </x:c>
      <x:c r="G29" s="43" t="n">
        <x:v>1694570589943</x:v>
      </x:c>
      <x:c r="H29" s="43" t="n">
        <x:v>73366915203</x:v>
      </x:c>
      <x:c r="I29" s="49" t="n">
        <x:f>H29/1099511627776</x:f>
        <x:v>0.0667268206625522</x:v>
      </x:c>
      <x:c r="J29" s="52" t="n">
        <x:f>H29/SUM($H$5:$H$70)</x:f>
        <x:v>0.0002409791263118635</x:v>
      </x:c>
      <x:c r="K29" s="52" t="n">
        <x:f>SUM($J$5:J29)</x:f>
        <x:v>0.9986693884521494</x:v>
      </x:c>
      <x:c r="L29" s="49" t="n">
        <x:f>G29/1099511627776</x:f>
        <x:v>1.5412029733333839</x:v>
      </x:c>
      <x:c r="M29" s="46" t="n">
        <x:v>4647.56</x:v>
      </x:c>
      <x:c r="N29" s="46" t="n">
        <x:v>201.22</x:v>
      </x:c>
      <x:c r="O29" s="46" t="n">
        <x:v>23.1</x:v>
      </x:c>
      <x:c r="P29" s="34" t="str">
        <x:v>68.33 GiB</x:v>
      </x:c>
    </x:row>
    <x:row r="30">
      <x:c r="A30" s="37" t="n">
        <x:f>ROW()-4</x:f>
        <x:v>26</x:v>
      </x:c>
      <x:c r="B30" s="34" t="str">
        <x:v>dce_rpc_log_local</x:v>
      </x:c>
      <x:c r="C30" s="37" t="str">
        <x:f>IF(I30*1024&gt;='汇总'!$B$14,"超大表",IF(I30*1024&gt;='汇总'!$B$15,"大表",IF(I30*1024&gt;='汇总'!$B$16,"中表","小表")))</x:f>
        <x:v>中表</x:v>
      </x:c>
      <x:c r="D30" s="37" t="str">
        <x:f>IF(E30&gt;='汇总'!$H$14,"超高行数",IF(E30&gt;='汇总'!$H$15,"高行数",IF(E30&gt;='汇总'!$H$16,"中行数","低行数")))</x:f>
        <x:v>高行数</x:v>
      </x:c>
      <x:c r="E30" s="43" t="n">
        <x:v>3078333766</x:v>
      </x:c>
      <x:c r="F30" s="46" t="n">
        <x:f>E30/100000000</x:f>
        <x:v>30.78333766</x:v>
      </x:c>
      <x:c r="G30" s="43" t="n">
        <x:v>2002008663937</x:v>
      </x:c>
      <x:c r="H30" s="43" t="n">
        <x:v>70593304143</x:v>
      </x:c>
      <x:c r="I30" s="49" t="n">
        <x:f>H30/1099511627776</x:f>
        <x:v>0.0642042360987034</x:v>
      </x:c>
      <x:c r="J30" s="52" t="n">
        <x:f>H30/SUM($H$5:$H$70)</x:f>
        <x:v>0.00023186899311192775</x:v>
      </x:c>
      <x:c r="K30" s="52" t="n">
        <x:f>SUM($J$5:J30)</x:f>
        <x:v>0.9989012574452613</x:v>
      </x:c>
      <x:c r="L30" s="49" t="n">
        <x:f>G30/1099511627776</x:f>
        <x:v>1.8208162727542003</x:v>
      </x:c>
      <x:c r="M30" s="46" t="n">
        <x:v>650.35</x:v>
      </x:c>
      <x:c r="N30" s="46" t="n">
        <x:v>22.93</x:v>
      </x:c>
      <x:c r="O30" s="46" t="n">
        <x:v>28.36</x:v>
      </x:c>
      <x:c r="P30" s="34" t="str">
        <x:v>65.75 GiB</x:v>
      </x:c>
    </x:row>
    <x:row r="31">
      <x:c r="A31" s="37" t="n">
        <x:f>ROW()-4</x:f>
        <x:v>27</x:v>
      </x:c>
      <x:c r="B31" s="34" t="str">
        <x:v>windows_event_log_local</x:v>
      </x:c>
      <x:c r="C31" s="37" t="str">
        <x:f>IF(I31*1024&gt;='汇总'!$B$14,"超大表",IF(I31*1024&gt;='汇总'!$B$15,"大表",IF(I31*1024&gt;='汇总'!$B$16,"中表","小表")))</x:f>
        <x:v>中表</x:v>
      </x:c>
      <x:c r="D31" s="37" t="str">
        <x:f>IF(E31&gt;='汇总'!$H$14,"超高行数",IF(E31&gt;='汇总'!$H$15,"高行数",IF(E31&gt;='汇总'!$H$16,"中行数","低行数")))</x:f>
        <x:v>中行数</x:v>
      </x:c>
      <x:c r="E31" s="43" t="n">
        <x:v>601707129</x:v>
      </x:c>
      <x:c r="F31" s="46" t="n">
        <x:f>E31/100000000</x:f>
        <x:v>6.01707129</x:v>
      </x:c>
      <x:c r="G31" s="43" t="n">
        <x:v>1788960447308</x:v>
      </x:c>
      <x:c r="H31" s="43" t="n">
        <x:v>64569764490</x:v>
      </x:c>
      <x:c r="I31" s="49" t="n">
        <x:f>H31/1099511627776</x:f>
        <x:v>0.05872585869838076</x:v>
      </x:c>
      <x:c r="J31" s="52" t="n">
        <x:f>H31/SUM($H$5:$H$70)</x:f>
        <x:v>0.00021208422611077336</x:v>
      </x:c>
      <x:c r="K31" s="52" t="n">
        <x:f>SUM($J$5:J31)</x:f>
        <x:v>0.999113341671372</x:v>
      </x:c>
      <x:c r="L31" s="49" t="n">
        <x:f>G31/1099511627776</x:f>
        <x:v>1.6270500485079538</x:v>
      </x:c>
      <x:c r="M31" s="46" t="n">
        <x:v>2973.14</x:v>
      </x:c>
      <x:c r="N31" s="46" t="n">
        <x:v>107.31</x:v>
      </x:c>
      <x:c r="O31" s="46" t="n">
        <x:v>27.71</x:v>
      </x:c>
      <x:c r="P31" s="34" t="str">
        <x:v>60.14 GiB</x:v>
      </x:c>
    </x:row>
    <x:row r="32">
      <x:c r="A32" s="37" t="n">
        <x:f>ROW()-4</x:f>
        <x:v>28</x:v>
      </x:c>
      <x:c r="B32" s="34" t="str">
        <x:v>ftp_log_local</x:v>
      </x:c>
      <x:c r="C32" s="37" t="str">
        <x:f>IF(I32*1024&gt;='汇总'!$B$14,"超大表",IF(I32*1024&gt;='汇总'!$B$15,"大表",IF(I32*1024&gt;='汇总'!$B$16,"中表","小表")))</x:f>
        <x:v>中表</x:v>
      </x:c>
      <x:c r="D32" s="37" t="str">
        <x:f>IF(E32&gt;='汇总'!$H$14,"超高行数",IF(E32&gt;='汇总'!$H$15,"高行数",IF(E32&gt;='汇总'!$H$16,"中行数","低行数")))</x:f>
        <x:v>高行数</x:v>
      </x:c>
      <x:c r="E32" s="43" t="n">
        <x:v>2596662951</x:v>
      </x:c>
      <x:c r="F32" s="46" t="n">
        <x:f>E32/100000000</x:f>
        <x:v>25.96662951</x:v>
      </x:c>
      <x:c r="G32" s="43" t="n">
        <x:v>1871997769652</x:v>
      </x:c>
      <x:c r="H32" s="43" t="n">
        <x:v>60934218770</x:v>
      </x:c>
      <x:c r="I32" s="49" t="n">
        <x:f>H32/1099511627776</x:f>
        <x:v>0.055419349127987516</x:v>
      </x:c>
      <x:c r="J32" s="52" t="n">
        <x:f>H32/SUM($H$5:$H$70)</x:f>
        <x:v>0.00020014300398294685</x:v>
      </x:c>
      <x:c r="K32" s="52" t="n">
        <x:f>SUM($J$5:J32)</x:f>
        <x:v>0.999313484675355</x:v>
      </x:c>
      <x:c r="L32" s="49" t="n">
        <x:f>G32/1099511627776</x:f>
        <x:v>1.7025720532292326</x:v>
      </x:c>
      <x:c r="M32" s="46" t="n">
        <x:v>720.92</x:v>
      </x:c>
      <x:c r="N32" s="46" t="n">
        <x:v>23.47</x:v>
      </x:c>
      <x:c r="O32" s="46" t="n">
        <x:v>30.72</x:v>
      </x:c>
      <x:c r="P32" s="34" t="str">
        <x:v>56.75 GiB</x:v>
      </x:c>
    </x:row>
    <x:row r="33">
      <x:c r="A33" s="37" t="n">
        <x:f>ROW()-4</x:f>
        <x:v>29</x:v>
      </x:c>
      <x:c r="B33" s="34" t="str">
        <x:v>dynamic_graph_log_local</x:v>
      </x:c>
      <x:c r="C33" s="37" t="str">
        <x:f>IF(I33*1024&gt;='汇总'!$B$14,"超大表",IF(I33*1024&gt;='汇总'!$B$15,"大表",IF(I33*1024&gt;='汇总'!$B$16,"中表","小表")))</x:f>
        <x:v>中表</x:v>
      </x:c>
      <x:c r="D33" s="37" t="str">
        <x:f>IF(E33&gt;='汇总'!$H$14,"超高行数",IF(E33&gt;='汇总'!$H$15,"高行数",IF(E33&gt;='汇总'!$H$16,"中行数","低行数")))</x:f>
        <x:v>高行数</x:v>
      </x:c>
      <x:c r="E33" s="43" t="n">
        <x:v>5392229716</x:v>
      </x:c>
      <x:c r="F33" s="46" t="n">
        <x:f>E33/100000000</x:f>
        <x:v>53.92229716</x:v>
      </x:c>
      <x:c r="G33" s="43" t="n">
        <x:v>730141028784</x:v>
      </x:c>
      <x:c r="H33" s="43" t="n">
        <x:v>39305706184</x:v>
      </x:c>
      <x:c r="I33" s="49" t="n">
        <x:f>H33/1099511627776</x:f>
        <x:v>0.03574833152379142</x:v>
      </x:c>
      <x:c r="J33" s="52" t="n">
        <x:f>H33/SUM($H$5:$H$70)</x:f>
        <x:v>0.00012910253496529485</x:v>
      </x:c>
      <x:c r="K33" s="52" t="n">
        <x:f>SUM($J$5:J33)</x:f>
        <x:v>0.9994425872103203</x:v>
      </x:c>
      <x:c r="L33" s="49" t="n">
        <x:f>G33/1099511627776</x:f>
        <x:v>0.6640593972260831</x:v>
      </x:c>
      <x:c r="M33" s="46" t="n">
        <x:v>135.41</x:v>
      </x:c>
      <x:c r="N33" s="46" t="n">
        <x:v>7.29</x:v>
      </x:c>
      <x:c r="O33" s="46" t="n">
        <x:v>18.58</x:v>
      </x:c>
      <x:c r="P33" s="34" t="str">
        <x:v>36.61 GiB</x:v>
      </x:c>
    </x:row>
    <x:row r="34">
      <x:c r="A34" s="37" t="n">
        <x:f>ROW()-4</x:f>
        <x:v>30</x:v>
      </x:c>
      <x:c r="B34" s="34" t="str">
        <x:v>ztna_access_log_local</x:v>
      </x:c>
      <x:c r="C34" s="37" t="str">
        <x:f>IF(I34*1024&gt;='汇总'!$B$14,"超大表",IF(I34*1024&gt;='汇总'!$B$15,"大表",IF(I34*1024&gt;='汇总'!$B$16,"中表","小表")))</x:f>
        <x:v>中表</x:v>
      </x:c>
      <x:c r="D34" s="37" t="str">
        <x:f>IF(E34&gt;='汇总'!$H$14,"超高行数",IF(E34&gt;='汇总'!$H$15,"高行数",IF(E34&gt;='汇总'!$H$16,"中行数","低行数")))</x:f>
        <x:v>中行数</x:v>
      </x:c>
      <x:c r="E34" s="43" t="n">
        <x:v>242679644</x:v>
      </x:c>
      <x:c r="F34" s="46" t="n">
        <x:f>E34/100000000</x:f>
        <x:v>2.42679644</x:v>
      </x:c>
      <x:c r="G34" s="43" t="n">
        <x:v>889467685833</x:v>
      </x:c>
      <x:c r="H34" s="43" t="n">
        <x:v>32605933273</x:v>
      </x:c>
      <x:c r="I34" s="49" t="n">
        <x:f>H34/1099511627776</x:f>
        <x:v>0.029654923558155133</x:v>
      </x:c>
      <x:c r="J34" s="52" t="n">
        <x:f>H34/SUM($H$5:$H$70)</x:f>
        <x:v>0.00010709662919546016</x:v>
      </x:c>
      <x:c r="K34" s="52" t="n">
        <x:f>SUM($J$5:J34)</x:f>
        <x:v>0.9995496838395158</x:v>
      </x:c>
      <x:c r="L34" s="49" t="n">
        <x:f>G34/1099511627776</x:f>
        <x:v>0.808966147663341</x:v>
      </x:c>
      <x:c r="M34" s="46" t="n">
        <x:v>3665.19</x:v>
      </x:c>
      <x:c r="N34" s="46" t="n">
        <x:v>134.36</x:v>
      </x:c>
      <x:c r="O34" s="46" t="n">
        <x:v>27.28</x:v>
      </x:c>
      <x:c r="P34" s="34" t="str">
        <x:v>30.37 GiB</x:v>
      </x:c>
    </x:row>
    <x:row r="35">
      <x:c r="A35" s="37" t="n">
        <x:f>ROW()-4</x:f>
        <x:v>31</x:v>
      </x:c>
      <x:c r="B35" s="34" t="str">
        <x:v>asset_log_local_old</x:v>
      </x:c>
      <x:c r="C35" s="37" t="str">
        <x:f>IF(I35*1024&gt;='汇总'!$B$14,"超大表",IF(I35*1024&gt;='汇总'!$B$15,"大表",IF(I35*1024&gt;='汇总'!$B$16,"中表","小表")))</x:f>
        <x:v>中表</x:v>
      </x:c>
      <x:c r="D35" s="37" t="str">
        <x:f>IF(E35&gt;='汇总'!$H$14,"超高行数",IF(E35&gt;='汇总'!$H$15,"高行数",IF(E35&gt;='汇总'!$H$16,"中行数","低行数")))</x:f>
        <x:v>低行数</x:v>
      </x:c>
      <x:c r="E35" s="43" t="n">
        <x:v>23339231</x:v>
      </x:c>
      <x:c r="F35" s="46" t="n">
        <x:f>E35/100000000</x:f>
        <x:v>0.23339231</x:v>
      </x:c>
      <x:c r="G35" s="43" t="n">
        <x:v>471043960564</x:v>
      </x:c>
      <x:c r="H35" s="43" t="n">
        <x:v>24953038214</x:v>
      </x:c>
      <x:c r="I35" s="49" t="n">
        <x:f>H35/1099511627776</x:f>
        <x:v>0.022694656048770412</x:v>
      </x:c>
      <x:c r="J35" s="52" t="n">
        <x:f>H35/SUM($H$5:$H$70)</x:f>
        <x:v>0.00008196012236576061</x:v>
      </x:c>
      <x:c r="K35" s="52" t="n">
        <x:f>SUM($J$5:J35)</x:f>
        <x:v>0.9996316439618815</x:v>
      </x:c>
      <x:c r="L35" s="49" t="n">
        <x:f>G35/1099511627776</x:f>
        <x:v>0.42841198643509415</x:v>
      </x:c>
      <x:c r="M35" s="46" t="n">
        <x:v>20182.5</x:v>
      </x:c>
      <x:c r="N35" s="46" t="n">
        <x:v>1069.15</x:v>
      </x:c>
      <x:c r="O35" s="46" t="n">
        <x:v>18.88</x:v>
      </x:c>
      <x:c r="P35" s="34" t="str">
        <x:v>23.24 GiB</x:v>
      </x:c>
    </x:row>
    <x:row r="36">
      <x:c r="A36" s="37" t="n">
        <x:f>ROW()-4</x:f>
        <x:v>32</x:v>
      </x:c>
      <x:c r="B36" s="34" t="str">
        <x:v>onvif_log_local</x:v>
      </x:c>
      <x:c r="C36" s="37" t="str">
        <x:f>IF(I36*1024&gt;='汇总'!$B$14,"超大表",IF(I36*1024&gt;='汇总'!$B$15,"大表",IF(I36*1024&gt;='汇总'!$B$16,"中表","小表")))</x:f>
        <x:v>中表</x:v>
      </x:c>
      <x:c r="D36" s="37" t="str">
        <x:f>IF(E36&gt;='汇总'!$H$14,"超高行数",IF(E36&gt;='汇总'!$H$15,"高行数",IF(E36&gt;='汇总'!$H$16,"中行数","低行数")))</x:f>
        <x:v>中行数</x:v>
      </x:c>
      <x:c r="E36" s="43" t="n">
        <x:v>169368306</x:v>
      </x:c>
      <x:c r="F36" s="46" t="n">
        <x:f>E36/100000000</x:f>
        <x:v>1.69368306</x:v>
      </x:c>
      <x:c r="G36" s="43" t="n">
        <x:v>970330478480</x:v>
      </x:c>
      <x:c r="H36" s="43" t="n">
        <x:v>18405776294</x:v>
      </x:c>
      <x:c r="I36" s="49" t="n">
        <x:f>H36/1099511627776</x:f>
        <x:v>0.016739956021410762</x:v>
      </x:c>
      <x:c r="J36" s="52" t="n">
        <x:f>H36/SUM($H$5:$H$70)</x:f>
        <x:v>0.00006045515036508395</x:v>
      </x:c>
      <x:c r="K36" s="52" t="n">
        <x:f>SUM($J$5:J36)</x:f>
        <x:v>0.9996920991122467</x:v>
      </x:c>
      <x:c r="L36" s="49" t="n">
        <x:f>G36/1099511627776</x:f>
        <x:v>0.8825104291463504</x:v>
      </x:c>
      <x:c r="M36" s="46" t="n">
        <x:v>5729.11</x:v>
      </x:c>
      <x:c r="N36" s="46" t="n">
        <x:v>108.67</x:v>
      </x:c>
      <x:c r="O36" s="46" t="n">
        <x:v>52.72</x:v>
      </x:c>
      <x:c r="P36" s="34" t="str">
        <x:v>17.14 GiB</x:v>
      </x:c>
    </x:row>
    <x:row r="37">
      <x:c r="A37" s="37" t="n">
        <x:f>ROW()-4</x:f>
        <x:v>33</x:v>
      </x:c>
      <x:c r="B37" s="34" t="str">
        <x:v>ntlm_log_local</x:v>
      </x:c>
      <x:c r="C37" s="37" t="str">
        <x:f>IF(I37*1024&gt;='汇总'!$B$14,"超大表",IF(I37*1024&gt;='汇总'!$B$15,"大表",IF(I37*1024&gt;='汇总'!$B$16,"中表","小表")))</x:f>
        <x:v>中表</x:v>
      </x:c>
      <x:c r="D37" s="37" t="str">
        <x:f>IF(E37&gt;='汇总'!$H$14,"超高行数",IF(E37&gt;='汇总'!$H$15,"高行数",IF(E37&gt;='汇总'!$H$16,"中行数","低行数")))</x:f>
        <x:v>中行数</x:v>
      </x:c>
      <x:c r="E37" s="43" t="n">
        <x:v>813670666</x:v>
      </x:c>
      <x:c r="F37" s="46" t="n">
        <x:f>E37/100000000</x:f>
        <x:v>8.13670666</x:v>
      </x:c>
      <x:c r="G37" s="43" t="n">
        <x:v>560285978050</x:v>
      </x:c>
      <x:c r="H37" s="43" t="n">
        <x:v>18240009828</x:v>
      </x:c>
      <x:c r="I37" s="49" t="n">
        <x:f>H37/1099511627776</x:f>
        <x:v>0.01658919229885214</x:v>
      </x:c>
      <x:c r="J37" s="52" t="n">
        <x:f>H37/SUM($H$5:$H$70)</x:f>
        <x:v>0.00005991067799578837</x:v>
      </x:c>
      <x:c r="K37" s="52" t="n">
        <x:f>SUM($J$5:J37)</x:f>
        <x:v>0.9997520097902425</x:v>
      </x:c>
      <x:c r="L37" s="49" t="n">
        <x:f>G37/1099511627776</x:f>
        <x:v>0.5095771285141382</x:v>
      </x:c>
      <x:c r="M37" s="46" t="n">
        <x:v>688.59</x:v>
      </x:c>
      <x:c r="N37" s="46" t="n">
        <x:v>22.42</x:v>
      </x:c>
      <x:c r="O37" s="46" t="n">
        <x:v>30.72</x:v>
      </x:c>
      <x:c r="P37" s="34" t="str">
        <x:v>16.99 GiB</x:v>
      </x:c>
    </x:row>
    <x:row r="38">
      <x:c r="A38" s="37" t="n">
        <x:f>ROW()-4</x:f>
        <x:v>34</x:v>
      </x:c>
      <x:c r="B38" s="34" t="str">
        <x:v>entraid_signin_log_local</x:v>
      </x:c>
      <x:c r="C38" s="37" t="str">
        <x:f>IF(I38*1024&gt;='汇总'!$B$14,"超大表",IF(I38*1024&gt;='汇总'!$B$15,"大表",IF(I38*1024&gt;='汇总'!$B$16,"中表","小表")))</x:f>
        <x:v>中表</x:v>
      </x:c>
      <x:c r="D38" s="37" t="str">
        <x:f>IF(E38&gt;='汇总'!$H$14,"超高行数",IF(E38&gt;='汇总'!$H$15,"高行数",IF(E38&gt;='汇总'!$H$16,"中行数","低行数")))</x:f>
        <x:v>低行数</x:v>
      </x:c>
      <x:c r="E38" s="43" t="n">
        <x:v>60886582</x:v>
      </x:c>
      <x:c r="F38" s="46" t="n">
        <x:f>E38/100000000</x:f>
        <x:v>0.60886582</x:v>
      </x:c>
      <x:c r="G38" s="43" t="n">
        <x:v>365993302064</x:v>
      </x:c>
      <x:c r="H38" s="43" t="n">
        <x:v>18145276379</x:v>
      </x:c>
      <x:c r="I38" s="49" t="n">
        <x:f>H38/1099511627776</x:f>
        <x:v>0.016503032728905964</x:v>
      </x:c>
      <x:c r="J38" s="52" t="n">
        <x:f>H38/SUM($H$5:$H$70)</x:f>
        <x:v>0.000059599518889406916</x:v>
      </x:c>
      <x:c r="K38" s="52" t="n">
        <x:f>SUM($J$5:J38)</x:f>
        <x:v>0.9998116093091319</x:v>
      </x:c>
      <x:c r="L38" s="49" t="n">
        <x:f>G38/1099511627776</x:f>
        <x:v>0.3328689691115869</x:v>
      </x:c>
      <x:c r="M38" s="46" t="n">
        <x:v>6011.07</x:v>
      </x:c>
      <x:c r="N38" s="46" t="n">
        <x:v>298.02</x:v>
      </x:c>
      <x:c r="O38" s="46" t="n">
        <x:v>20.17</x:v>
      </x:c>
      <x:c r="P38" s="34" t="str">
        <x:v>16.90 GiB</x:v>
      </x:c>
    </x:row>
    <x:row r="39">
      <x:c r="A39" s="37" t="n">
        <x:f>ROW()-4</x:f>
        <x:v>35</x:v>
      </x:c>
      <x:c r="B39" s="34" t="str">
        <x:v>ti_network_security_log_local</x:v>
      </x:c>
      <x:c r="C39" s="37" t="str">
        <x:f>IF(I39*1024&gt;='汇总'!$B$14,"超大表",IF(I39*1024&gt;='汇总'!$B$15,"大表",IF(I39*1024&gt;='汇总'!$B$16,"中表","小表")))</x:f>
        <x:v>小表</x:v>
      </x:c>
      <x:c r="D39" s="37" t="str">
        <x:f>IF(E39&gt;='汇总'!$H$14,"超高行数",IF(E39&gt;='汇总'!$H$15,"高行数",IF(E39&gt;='汇总'!$H$16,"中行数","低行数")))</x:f>
        <x:v>中行数</x:v>
      </x:c>
      <x:c r="E39" s="43" t="n">
        <x:v>785052456</x:v>
      </x:c>
      <x:c r="F39" s="46" t="n">
        <x:f>E39/100000000</x:f>
        <x:v>7.85052456</x:v>
      </x:c>
      <x:c r="G39" s="43" t="n">
        <x:v>24597000994</x:v>
      </x:c>
      <x:c r="H39" s="43" t="n">
        <x:v>9443951250</x:v>
      </x:c>
      <x:c r="I39" s="49" t="n">
        <x:f>H39/1099511627776</x:f>
        <x:v>0.008589223625676823</x:v>
      </x:c>
      <x:c r="J39" s="52" t="n">
        <x:f>H39/SUM($H$5:$H$70)</x:f>
        <x:v>0.000031019364993879056</x:v>
      </x:c>
      <x:c r="K39" s="52" t="n">
        <x:f>SUM($J$5:J39)</x:f>
        <x:v>0.9998426286741258</x:v>
      </x:c>
      <x:c r="L39" s="49" t="n">
        <x:f>G39/1099511627776</x:f>
        <x:v>0.02237084208354645</x:v>
      </x:c>
      <x:c r="M39" s="46" t="n">
        <x:v>31.33</x:v>
      </x:c>
      <x:c r="N39" s="46" t="n">
        <x:v>12.03</x:v>
      </x:c>
      <x:c r="O39" s="46" t="n">
        <x:v>2.6</x:v>
      </x:c>
      <x:c r="P39" s="34" t="str">
        <x:v>8.80 GiB</x:v>
      </x:c>
    </x:row>
    <x:row r="40">
      <x:c r="A40" s="37" t="n">
        <x:f>ROW()-4</x:f>
        <x:v>36</x:v>
      </x:c>
      <x:c r="B40" s="34" t="str">
        <x:v>ssh_log_local</x:v>
      </x:c>
      <x:c r="C40" s="37" t="str">
        <x:f>IF(I40*1024&gt;='汇总'!$B$14,"超大表",IF(I40*1024&gt;='汇总'!$B$15,"大表",IF(I40*1024&gt;='汇总'!$B$16,"中表","小表")))</x:f>
        <x:v>小表</x:v>
      </x:c>
      <x:c r="D40" s="37" t="str">
        <x:f>IF(E40&gt;='汇总'!$H$14,"超高行数",IF(E40&gt;='汇总'!$H$15,"高行数",IF(E40&gt;='汇总'!$H$16,"中行数","低行数")))</x:f>
        <x:v>低行数</x:v>
      </x:c>
      <x:c r="E40" s="43" t="n">
        <x:v>94429883</x:v>
      </x:c>
      <x:c r="F40" s="46" t="n">
        <x:f>E40/100000000</x:f>
        <x:v>0.94429883</x:v>
      </x:c>
      <x:c r="G40" s="43" t="n">
        <x:v>128614141363</x:v>
      </x:c>
      <x:c r="H40" s="43" t="n">
        <x:v>8058386378</x:v>
      </x:c>
      <x:c r="I40" s="49" t="n">
        <x:f>H40/1099511627776</x:f>
        <x:v>0.007329059715630137</x:v>
      </x:c>
      <x:c r="J40" s="52" t="n">
        <x:f>H40/SUM($H$5:$H$70)</x:f>
        <x:v>0.000026468373428006102</x:v>
      </x:c>
      <x:c r="K40" s="52" t="n">
        <x:f>SUM($J$5:J40)</x:f>
        <x:v>0.9998690970475538</x:v>
      </x:c>
      <x:c r="L40" s="49" t="n">
        <x:f>G40/1099511627776</x:f>
        <x:v>0.11697388014272292</x:v>
      </x:c>
      <x:c r="M40" s="46" t="n">
        <x:v>1362.01</x:v>
      </x:c>
      <x:c r="N40" s="46" t="n">
        <x:v>85.34</x:v>
      </x:c>
      <x:c r="O40" s="46" t="n">
        <x:v>15.96</x:v>
      </x:c>
      <x:c r="P40" s="34" t="str">
        <x:v>7.50 GiB</x:v>
      </x:c>
    </x:row>
    <x:row r="41">
      <x:c r="A41" s="37" t="n">
        <x:f>ROW()-4</x:f>
        <x:v>37</x:v>
      </x:c>
      <x:c r="B41" s="34" t="str">
        <x:v>vpn_log_local</x:v>
      </x:c>
      <x:c r="C41" s="37" t="str">
        <x:f>IF(I41*1024&gt;='汇总'!$B$14,"超大表",IF(I41*1024&gt;='汇总'!$B$15,"大表",IF(I41*1024&gt;='汇总'!$B$16,"中表","小表")))</x:f>
        <x:v>小表</x:v>
      </x:c>
      <x:c r="D41" s="37" t="str">
        <x:f>IF(E41&gt;='汇总'!$H$14,"超高行数",IF(E41&gt;='汇总'!$H$15,"高行数",IF(E41&gt;='汇总'!$H$16,"中行数","低行数")))</x:f>
        <x:v>中行数</x:v>
      </x:c>
      <x:c r="E41" s="43" t="n">
        <x:v>109200543</x:v>
      </x:c>
      <x:c r="F41" s="46" t="n">
        <x:f>E41/100000000</x:f>
        <x:v>1.09200543</x:v>
      </x:c>
      <x:c r="G41" s="43" t="n">
        <x:v>154096465984</x:v>
      </x:c>
      <x:c r="H41" s="43" t="n">
        <x:v>7269651660</x:v>
      </x:c>
      <x:c r="I41" s="49" t="n">
        <x:f>H41/1099511627776</x:f>
        <x:v>0.006611709668504773</x:v>
      </x:c>
      <x:c r="J41" s="52" t="n">
        <x:f>H41/SUM($H$5:$H$70)</x:f>
        <x:v>0.000023877715190439886</x:v>
      </x:c>
      <x:c r="K41" s="52" t="n">
        <x:f>SUM($J$5:J41)</x:f>
        <x:v>0.9998929747627442</x:v>
      </x:c>
      <x:c r="L41" s="49" t="n">
        <x:f>G41/1099511627776</x:f>
        <x:v>0.14014991937438026</x:v>
      </x:c>
      <x:c r="M41" s="46" t="n">
        <x:v>1411.13</x:v>
      </x:c>
      <x:c r="N41" s="46" t="n">
        <x:v>66.57</x:v>
      </x:c>
      <x:c r="O41" s="46" t="n">
        <x:v>21.2</x:v>
      </x:c>
      <x:c r="P41" s="34" t="str">
        <x:v>6.77 GiB</x:v>
      </x:c>
    </x:row>
    <x:row r="42">
      <x:c r="A42" s="37" t="n">
        <x:f>ROW()-4</x:f>
        <x:v>38</x:v>
      </x:c>
      <x:c r="B42" s="34" t="str">
        <x:v>weak_log_local</x:v>
      </x:c>
      <x:c r="C42" s="37" t="str">
        <x:f>IF(I42*1024&gt;='汇总'!$B$14,"超大表",IF(I42*1024&gt;='汇总'!$B$15,"大表",IF(I42*1024&gt;='汇总'!$B$16,"中表","小表")))</x:f>
        <x:v>小表</x:v>
      </x:c>
      <x:c r="D42" s="37" t="str">
        <x:f>IF(E42&gt;='汇总'!$H$14,"超高行数",IF(E42&gt;='汇总'!$H$15,"高行数",IF(E42&gt;='汇总'!$H$16,"中行数","低行数")))</x:f>
        <x:v>低行数</x:v>
      </x:c>
      <x:c r="E42" s="43" t="n">
        <x:v>14614659</x:v>
      </x:c>
      <x:c r="F42" s="46" t="n">
        <x:f>E42/100000000</x:f>
        <x:v>0.14614659</x:v>
      </x:c>
      <x:c r="G42" s="43" t="n">
        <x:v>40940906746</x:v>
      </x:c>
      <x:c r="H42" s="43" t="n">
        <x:v>6172486015</x:v>
      </x:c>
      <x:c r="I42" s="49" t="n">
        <x:f>H42/1099511627776</x:f>
        <x:v>0.005613843327409995</x:v>
      </x:c>
      <x:c r="J42" s="52" t="n">
        <x:f>H42/SUM($H$5:$H$70)</x:f>
        <x:v>0.000020273992479461286</x:v>
      </x:c>
      <x:c r="K42" s="52" t="n">
        <x:f>SUM($J$5:J42)</x:f>
        <x:v>0.9999132487552237</x:v>
      </x:c>
      <x:c r="L42" s="49" t="n">
        <x:f>G42/1099511627776</x:f>
        <x:v>0.037235537771266536</x:v>
      </x:c>
      <x:c r="M42" s="46" t="n">
        <x:v>2801.36</x:v>
      </x:c>
      <x:c r="N42" s="46" t="n">
        <x:v>422.35</x:v>
      </x:c>
      <x:c r="O42" s="46" t="n">
        <x:v>6.63</x:v>
      </x:c>
      <x:c r="P42" s="34" t="str">
        <x:v>5.75 GiB</x:v>
      </x:c>
    </x:row>
    <x:row r="43">
      <x:c r="A43" s="37" t="n">
        <x:f>ROW()-4</x:f>
        <x:v>39</x:v>
      </x:c>
      <x:c r="B43" s="34" t="str">
        <x:v>pgsql_login_log_local</x:v>
      </x:c>
      <x:c r="C43" s="37" t="str">
        <x:f>IF(I43*1024&gt;='汇总'!$B$14,"超大表",IF(I43*1024&gt;='汇总'!$B$15,"大表",IF(I43*1024&gt;='汇总'!$B$16,"中表","小表")))</x:f>
        <x:v>小表</x:v>
      </x:c>
      <x:c r="D43" s="37" t="str">
        <x:f>IF(E43&gt;='汇总'!$H$14,"超高行数",IF(E43&gt;='汇总'!$H$15,"高行数",IF(E43&gt;='汇总'!$H$16,"中行数","低行数")))</x:f>
        <x:v>低行数</x:v>
      </x:c>
      <x:c r="E43" s="43" t="n">
        <x:v>39632089</x:v>
      </x:c>
      <x:c r="F43" s="46" t="n">
        <x:f>E43/100000000</x:f>
        <x:v>0.39632089</x:v>
      </x:c>
      <x:c r="G43" s="43" t="n">
        <x:v>50356657595</x:v>
      </x:c>
      <x:c r="H43" s="43" t="n">
        <x:v>4891561493</x:v>
      </x:c>
      <x:c r="I43" s="49" t="n">
        <x:f>H43/1099511627776</x:f>
        <x:v>0.004448849261279975</x:v>
      </x:c>
      <x:c r="J43" s="52" t="n">
        <x:f>H43/SUM($H$5:$H$70)</x:f>
        <x:v>0.00001606669997808078</x:v>
      </x:c>
      <x:c r="K43" s="52" t="n">
        <x:f>SUM($J$5:J43)</x:f>
        <x:v>0.9999293154552018</x:v>
      </x:c>
      <x:c r="L43" s="49" t="n">
        <x:f>G43/1099511627776</x:f>
        <x:v>0.04579911328164599</x:v>
      </x:c>
      <x:c r="M43" s="46" t="n">
        <x:v>1270.6</x:v>
      </x:c>
      <x:c r="N43" s="46" t="n">
        <x:v>123.42</x:v>
      </x:c>
      <x:c r="O43" s="46" t="n">
        <x:v>10.29</x:v>
      </x:c>
      <x:c r="P43" s="34" t="str">
        <x:v>4.56 GiB</x:v>
      </x:c>
    </x:row>
    <x:row r="44">
      <x:c r="A44" s="37" t="n">
        <x:f>ROW()-4</x:f>
        <x:v>40</x:v>
      </x:c>
      <x:c r="B44" s="34" t="str">
        <x:v>count_log_local</x:v>
      </x:c>
      <x:c r="C44" s="37" t="str">
        <x:f>IF(I44*1024&gt;='汇总'!$B$14,"超大表",IF(I44*1024&gt;='汇总'!$B$15,"大表",IF(I44*1024&gt;='汇总'!$B$16,"中表","小表")))</x:f>
        <x:v>小表</x:v>
      </x:c>
      <x:c r="D44" s="37" t="str">
        <x:f>IF(E44&gt;='汇总'!$H$14,"超高行数",IF(E44&gt;='汇总'!$H$15,"高行数",IF(E44&gt;='汇总'!$H$16,"中行数","低行数")))</x:f>
        <x:v>高行数</x:v>
      </x:c>
      <x:c r="E44" s="43" t="n">
        <x:v>1385808146</x:v>
      </x:c>
      <x:c r="F44" s="46" t="n">
        <x:f>E44/100000000</x:f>
        <x:v>13.85808146</x:v>
      </x:c>
      <x:c r="G44" s="43" t="n">
        <x:v>35950449825</x:v>
      </x:c>
      <x:c r="H44" s="43" t="n">
        <x:v>4442638051</x:v>
      </x:c>
      <x:c r="I44" s="49" t="n">
        <x:f>H44/1099511627776</x:f>
        <x:v>0.004040555769279308</x:v>
      </x:c>
      <x:c r="J44" s="52" t="n">
        <x:f>H44/SUM($H$5:$H$70)</x:f>
        <x:v>0.000014592177319812452</x:v>
      </x:c>
      <x:c r="K44" s="52" t="n">
        <x:f>SUM($J$5:J44)</x:f>
        <x:v>0.9999439076325216</x:v>
      </x:c>
      <x:c r="L44" s="49" t="n">
        <x:f>G44/1099511627776</x:f>
        <x:v>0.032696743642190995</x:v>
      </x:c>
      <x:c r="M44" s="46" t="n">
        <x:v>25.94</x:v>
      </x:c>
      <x:c r="N44" s="46" t="n">
        <x:v>3.21</x:v>
      </x:c>
      <x:c r="O44" s="46" t="n">
        <x:v>8.09</x:v>
      </x:c>
      <x:c r="P44" s="34" t="str">
        <x:v>4.14 GiB</x:v>
      </x:c>
    </x:row>
    <x:row r="45">
      <x:c r="A45" s="37" t="n">
        <x:f>ROW()-4</x:f>
        <x:v>41</x:v>
      </x:c>
      <x:c r="B45" s="34" t="str">
        <x:v>datalake_report_log_local</x:v>
      </x:c>
      <x:c r="C45" s="37" t="str">
        <x:f>IF(I45*1024&gt;='汇总'!$B$14,"超大表",IF(I45*1024&gt;='汇总'!$B$15,"大表",IF(I45*1024&gt;='汇总'!$B$16,"中表","小表")))</x:f>
        <x:v>小表</x:v>
      </x:c>
      <x:c r="D45" s="37" t="str">
        <x:f>IF(E45&gt;='汇总'!$H$14,"超高行数",IF(E45&gt;='汇总'!$H$15,"高行数",IF(E45&gt;='汇总'!$H$16,"中行数","低行数")))</x:f>
        <x:v>低行数</x:v>
      </x:c>
      <x:c r="E45" s="43" t="n">
        <x:v>83588079</x:v>
      </x:c>
      <x:c r="F45" s="46" t="n">
        <x:f>E45/100000000</x:f>
        <x:v>0.83588079</x:v>
      </x:c>
      <x:c r="G45" s="43" t="n">
        <x:v>11733252137</x:v>
      </x:c>
      <x:c r="H45" s="43" t="n">
        <x:v>2985716765</x:v>
      </x:c>
      <x:c r="I45" s="49" t="n">
        <x:f>H45/1099511627776</x:f>
        <x:v>0.002715493578762107</x:v>
      </x:c>
      <x:c r="J45" s="52" t="n">
        <x:f>H45/SUM($H$5:$H$70)</x:f>
        <x:v>0.000009806810269364617</x:v>
      </x:c>
      <x:c r="K45" s="52" t="n">
        <x:f>SUM($J$5:J45)</x:f>
        <x:v>0.999953714442791</x:v>
      </x:c>
      <x:c r="L45" s="49" t="n">
        <x:f>G45/1099511627776</x:f>
        <x:v>0.010671330653167388</x:v>
      </x:c>
      <x:c r="M45" s="46" t="n">
        <x:v>140.37</x:v>
      </x:c>
      <x:c r="N45" s="46" t="n">
        <x:v>35.72</x:v>
      </x:c>
      <x:c r="O45" s="46" t="n">
        <x:v>3.93</x:v>
      </x:c>
      <x:c r="P45" s="34" t="str">
        <x:v>2.78 GiB</x:v>
      </x:c>
    </x:row>
    <x:row r="46">
      <x:c r="A46" s="37" t="n">
        <x:f>ROW()-4</x:f>
        <x:v>42</x:v>
      </x:c>
      <x:c r="B46" s="34" t="str">
        <x:v>datalake_platform_log_local</x:v>
      </x:c>
      <x:c r="C46" s="37" t="str">
        <x:f>IF(I46*1024&gt;='汇总'!$B$14,"超大表",IF(I46*1024&gt;='汇总'!$B$15,"大表",IF(I46*1024&gt;='汇总'!$B$16,"中表","小表")))</x:f>
        <x:v>小表</x:v>
      </x:c>
      <x:c r="D46" s="37" t="str">
        <x:f>IF(E46&gt;='汇总'!$H$14,"超高行数",IF(E46&gt;='汇总'!$H$15,"高行数",IF(E46&gt;='汇总'!$H$16,"中行数","低行数")))</x:f>
        <x:v>低行数</x:v>
      </x:c>
      <x:c r="E46" s="43" t="n">
        <x:v>14710947</x:v>
      </x:c>
      <x:c r="F46" s="46" t="n">
        <x:f>E46/100000000</x:f>
        <x:v>0.14710947</x:v>
      </x:c>
      <x:c r="G46" s="43" t="n">
        <x:v>86587477266</x:v>
      </x:c>
      <x:c r="H46" s="43" t="n">
        <x:v>2861859593</x:v>
      </x:c>
      <x:c r="I46" s="49" t="n">
        <x:f>H46/1099511627776</x:f>
        <x:v>0.002602846137051529</x:v>
      </x:c>
      <x:c r="J46" s="52" t="n">
        <x:f>H46/SUM($H$5:$H$70)</x:f>
        <x:v>0.000009399992114158907</x:v>
      </x:c>
      <x:c r="K46" s="52" t="n">
        <x:f>SUM($J$5:J46)</x:f>
        <x:v>0.9999631144349052</x:v>
      </x:c>
      <x:c r="L46" s="49" t="n">
        <x:f>G46/1099511627776</x:f>
        <x:v>0.07875085181331087</x:v>
      </x:c>
      <x:c r="M46" s="46" t="n">
        <x:v>5885.92</x:v>
      </x:c>
      <x:c r="N46" s="46" t="n">
        <x:v>194.54</x:v>
      </x:c>
      <x:c r="O46" s="46" t="n">
        <x:v>30.26</x:v>
      </x:c>
      <x:c r="P46" s="34" t="str">
        <x:v>2.67 GiB</x:v>
      </x:c>
    </x:row>
    <x:row r="47">
      <x:c r="A47" s="37" t="n">
        <x:f>ROW()-4</x:f>
        <x:v>43</x:v>
      </x:c>
      <x:c r="B47" s="34" t="str">
        <x:v>ftp_login_log_local</x:v>
      </x:c>
      <x:c r="C47" s="37" t="str">
        <x:f>IF(I47*1024&gt;='汇总'!$B$14,"超大表",IF(I47*1024&gt;='汇总'!$B$15,"大表",IF(I47*1024&gt;='汇总'!$B$16,"中表","小表")))</x:f>
        <x:v>小表</x:v>
      </x:c>
      <x:c r="D47" s="37" t="str">
        <x:f>IF(E47&gt;='汇总'!$H$14,"超高行数",IF(E47&gt;='汇总'!$H$15,"高行数",IF(E47&gt;='汇总'!$H$16,"中行数","低行数")))</x:f>
        <x:v>中行数</x:v>
      </x:c>
      <x:c r="E47" s="43" t="n">
        <x:v>103455499</x:v>
      </x:c>
      <x:c r="F47" s="46" t="n">
        <x:f>E47/100000000</x:f>
        <x:v>1.03455499</x:v>
      </x:c>
      <x:c r="G47" s="43" t="n">
        <x:v>70416113536</x:v>
      </x:c>
      <x:c r="H47" s="43" t="n">
        <x:v>2088939193</x:v>
      </x:c>
      <x:c r="I47" s="49" t="n">
        <x:f>H47/1099511627776</x:f>
        <x:v>0.0018998791283593164</x:v>
      </x:c>
      <x:c r="J47" s="52" t="n">
        <x:f>H47/SUM($H$5:$H$70)</x:f>
        <x:v>0.000006861277188156404</x:v>
      </x:c>
      <x:c r="K47" s="52" t="n">
        <x:f>SUM($J$5:J47)</x:f>
        <x:v>0.9999699757120933</x:v>
      </x:c>
      <x:c r="L47" s="49" t="n">
        <x:f>G47/1099511627776</x:f>
        <x:v>0.06404308218043298</x:v>
      </x:c>
      <x:c r="M47" s="46" t="n">
        <x:v>680.64</x:v>
      </x:c>
      <x:c r="N47" s="46" t="n">
        <x:v>20.19</x:v>
      </x:c>
      <x:c r="O47" s="46" t="n">
        <x:v>33.71</x:v>
      </x:c>
      <x:c r="P47" s="34" t="str">
        <x:v>1.95 GiB</x:v>
      </x:c>
    </x:row>
    <x:row r="48">
      <x:c r="A48" s="37" t="n">
        <x:f>ROW()-4</x:f>
        <x:v>44</x:v>
      </x:c>
      <x:c r="B48" s="34" t="str">
        <x:v>file_log_local</x:v>
      </x:c>
      <x:c r="C48" s="37" t="str">
        <x:f>IF(I48*1024&gt;='汇总'!$B$14,"超大表",IF(I48*1024&gt;='汇总'!$B$15,"大表",IF(I48*1024&gt;='汇总'!$B$16,"中表","小表")))</x:f>
        <x:v>小表</x:v>
      </x:c>
      <x:c r="D48" s="37" t="str">
        <x:f>IF(E48&gt;='汇总'!$H$14,"超高行数",IF(E48&gt;='汇总'!$H$15,"高行数",IF(E48&gt;='汇总'!$H$16,"中行数","低行数")))</x:f>
        <x:v>低行数</x:v>
      </x:c>
      <x:c r="E48" s="43" t="n">
        <x:v>314012</x:v>
      </x:c>
      <x:c r="F48" s="46" t="n">
        <x:f>E48/100000000</x:f>
        <x:v>0.00314012</x:v>
      </x:c>
      <x:c r="G48" s="43" t="n">
        <x:v>5232337249</x:v>
      </x:c>
      <x:c r="H48" s="43" t="n">
        <x:v>1749066082</x:v>
      </x:c>
      <x:c r="I48" s="49" t="n">
        <x:f>H48/1099511627776</x:f>
        <x:v>0.001590766334629734</x:v>
      </x:c>
      <x:c r="J48" s="52" t="n">
        <x:f>H48/SUM($H$5:$H$70)</x:f>
        <x:v>0.000005744938507171137</x:v>
      </x:c>
      <x:c r="K48" s="52" t="n">
        <x:f>SUM($J$5:J48)</x:f>
        <x:v>0.9999757206506005</x:v>
      </x:c>
      <x:c r="L48" s="49" t="n">
        <x:f>G48/1099511627776</x:f>
        <x:v>0.004758783005854639</x:v>
      </x:c>
      <x:c r="M48" s="46" t="n">
        <x:v>16662.86</x:v>
      </x:c>
      <x:c r="N48" s="46" t="n">
        <x:v>5570.06</x:v>
      </x:c>
      <x:c r="O48" s="46" t="n">
        <x:v>2.99</x:v>
      </x:c>
      <x:c r="P48" s="34" t="str">
        <x:v>1.63 GiB</x:v>
      </x:c>
    </x:row>
    <x:row r="49">
      <x:c r="A49" s="37" t="n">
        <x:f>ROW()-4</x:f>
        <x:v>45</x:v>
      </x:c>
      <x:c r="B49" s="34" t="str">
        <x:v>check_data_device_health_log_local</x:v>
      </x:c>
      <x:c r="C49" s="37" t="str">
        <x:f>IF(I49*1024&gt;='汇总'!$B$14,"超大表",IF(I49*1024&gt;='汇总'!$B$15,"大表",IF(I49*1024&gt;='汇总'!$B$16,"中表","小表")))</x:f>
        <x:v>小表</x:v>
      </x:c>
      <x:c r="D49" s="37" t="str">
        <x:f>IF(E49&gt;='汇总'!$H$14,"超高行数",IF(E49&gt;='汇总'!$H$15,"高行数",IF(E49&gt;='汇总'!$H$16,"中行数","低行数")))</x:f>
        <x:v>低行数</x:v>
      </x:c>
      <x:c r="E49" s="43" t="n">
        <x:v>8220615</x:v>
      </x:c>
      <x:c r="F49" s="46" t="n">
        <x:f>E49/100000000</x:f>
        <x:v>0.08220615</x:v>
      </x:c>
      <x:c r="G49" s="43" t="n">
        <x:v>20618424678</x:v>
      </x:c>
      <x:c r="H49" s="43" t="n">
        <x:v>1528251548</x:v>
      </x:c>
      <x:c r="I49" s="49" t="n">
        <x:f>H49/1099511627776</x:f>
        <x:v>0.001389936685882276</x:v>
      </x:c>
      <x:c r="J49" s="52" t="n">
        <x:f>H49/SUM($H$5:$H$70)</x:f>
        <x:v>0.000005019656636820597</x:v>
      </x:c>
      <x:c r="K49" s="52" t="n">
        <x:f>SUM($J$5:J49)</x:f>
        <x:v>0.9999807403072373</x:v>
      </x:c>
      <x:c r="L49" s="49" t="n">
        <x:f>G49/1099511627776</x:f>
        <x:v>0.018752348003545194</x:v>
      </x:c>
      <x:c r="M49" s="46" t="n">
        <x:v>2508.14</x:v>
      </x:c>
      <x:c r="N49" s="46" t="n">
        <x:v>185.9</x:v>
      </x:c>
      <x:c r="O49" s="46" t="n">
        <x:v>13.49</x:v>
      </x:c>
      <x:c r="P49" s="34" t="str">
        <x:v>1.42 GiB</x:v>
      </x:c>
    </x:row>
    <x:row r="50">
      <x:c r="A50" s="37" t="n">
        <x:f>ROW()-4</x:f>
        <x:v>46</x:v>
      </x:c>
      <x:c r="B50" s="34" t="str">
        <x:v>xdr_net_ops_local</x:v>
      </x:c>
      <x:c r="C50" s="37" t="str">
        <x:f>IF(I50*1024&gt;='汇总'!$B$14,"超大表",IF(I50*1024&gt;='汇总'!$B$15,"大表",IF(I50*1024&gt;='汇总'!$B$16,"中表","小表")))</x:f>
        <x:v>小表</x:v>
      </x:c>
      <x:c r="D50" s="37" t="str">
        <x:f>IF(E50&gt;='汇总'!$H$14,"超高行数",IF(E50&gt;='汇总'!$H$15,"高行数",IF(E50&gt;='汇总'!$H$16,"中行数","低行数")))</x:f>
        <x:v>低行数</x:v>
      </x:c>
      <x:c r="E50" s="43" t="n">
        <x:v>75249182</x:v>
      </x:c>
      <x:c r="F50" s="46" t="n">
        <x:f>E50/100000000</x:f>
        <x:v>0.75249182</x:v>
      </x:c>
      <x:c r="G50" s="43" t="n">
        <x:v>14850716674</x:v>
      </x:c>
      <x:c r="H50" s="43" t="n">
        <x:v>1391893114</x:v>
      </x:c>
      <x:c r="I50" s="49" t="n">
        <x:f>H50/1099511627776</x:f>
        <x:v>0.0012659194126172224</x:v>
      </x:c>
      <x:c r="J50" s="52" t="n">
        <x:f>H50/SUM($H$5:$H$70)</x:f>
        <x:v>0.000004571777150547331</x:v>
      </x:c>
      <x:c r="K50" s="52" t="n">
        <x:f>SUM($J$5:J50)</x:f>
        <x:v>0.9999853120843878</x:v>
      </x:c>
      <x:c r="L50" s="49" t="n">
        <x:f>G50/1099511627776</x:f>
        <x:v>0.013506648132533883</x:v>
      </x:c>
      <x:c r="M50" s="46" t="n">
        <x:v>197.35</x:v>
      </x:c>
      <x:c r="N50" s="46" t="n">
        <x:v>18.5</x:v>
      </x:c>
      <x:c r="O50" s="46" t="n">
        <x:v>10.67</x:v>
      </x:c>
      <x:c r="P50" s="34" t="str">
        <x:v>1.30 GiB</x:v>
      </x:c>
    </x:row>
    <x:row r="51">
      <x:c r="A51" s="37" t="n">
        <x:f>ROW()-4</x:f>
        <x:v>47</x:v>
      </x:c>
      <x:c r="B51" s="34" t="str">
        <x:v>ldap_log_local</x:v>
      </x:c>
      <x:c r="C51" s="37" t="str">
        <x:f>IF(I51*1024&gt;='汇总'!$B$14,"超大表",IF(I51*1024&gt;='汇总'!$B$15,"大表",IF(I51*1024&gt;='汇总'!$B$16,"中表","小表")))</x:f>
        <x:v>小表</x:v>
      </x:c>
      <x:c r="D51" s="37" t="str">
        <x:f>IF(E51&gt;='汇总'!$H$14,"超高行数",IF(E51&gt;='汇总'!$H$15,"高行数",IF(E51&gt;='汇总'!$H$16,"中行数","低行数")))</x:f>
        <x:v>低行数</x:v>
      </x:c>
      <x:c r="E51" s="43" t="n">
        <x:v>28202545</x:v>
      </x:c>
      <x:c r="F51" s="46" t="n">
        <x:f>E51/100000000</x:f>
        <x:v>0.28202545</x:v>
      </x:c>
      <x:c r="G51" s="43" t="n">
        <x:v>20650115264</x:v>
      </x:c>
      <x:c r="H51" s="43" t="n">
        <x:v>875522021</x:v>
      </x:c>
      <x:c r="I51" s="49" t="n">
        <x:f>H51/1099511627776</x:f>
        <x:v>0.0007962826393850264</x:v>
      </x:c>
      <x:c r="J51" s="52" t="n">
        <x:f>H51/SUM($H$5:$H$70)</x:f>
        <x:v>0.000002875717632445174</x:v>
      </x:c>
      <x:c r="K51" s="52" t="n">
        <x:f>SUM($J$5:J51)</x:f>
        <x:v>0.9999881878020203</x:v>
      </x:c>
      <x:c r="L51" s="49" t="n">
        <x:f>G51/1099511627776</x:f>
        <x:v>0.018781170423608273</x:v>
      </x:c>
      <x:c r="M51" s="46" t="n">
        <x:v>732.21</x:v>
      </x:c>
      <x:c r="N51" s="46" t="n">
        <x:v>31.04</x:v>
      </x:c>
      <x:c r="O51" s="46" t="n">
        <x:v>23.59</x:v>
      </x:c>
      <x:c r="P51" s="34" t="str">
        <x:v>834.96 MiB</x:v>
      </x:c>
    </x:row>
    <x:row r="52">
      <x:c r="A52" s="37" t="n">
        <x:f>ROW()-4</x:f>
        <x:v>48</x:v>
      </x:c>
      <x:c r="B52" s="34" t="str">
        <x:v>pop3_login_log_local</x:v>
      </x:c>
      <x:c r="C52" s="37" t="str">
        <x:f>IF(I52*1024&gt;='汇总'!$B$14,"超大表",IF(I52*1024&gt;='汇总'!$B$15,"大表",IF(I52*1024&gt;='汇总'!$B$16,"中表","小表")))</x:f>
        <x:v>小表</x:v>
      </x:c>
      <x:c r="D52" s="37" t="str">
        <x:f>IF(E52&gt;='汇总'!$H$14,"超高行数",IF(E52&gt;='汇总'!$H$15,"高行数",IF(E52&gt;='汇总'!$H$16,"中行数","低行数")))</x:f>
        <x:v>低行数</x:v>
      </x:c>
      <x:c r="E52" s="43" t="n">
        <x:v>13432985</x:v>
      </x:c>
      <x:c r="F52" s="46" t="n">
        <x:f>E52/100000000</x:f>
        <x:v>0.13432985</x:v>
      </x:c>
      <x:c r="G52" s="43" t="n">
        <x:v>9657375411</x:v>
      </x:c>
      <x:c r="H52" s="43" t="n">
        <x:v>682994927</x:v>
      </x:c>
      <x:c r="I52" s="49" t="n">
        <x:f>H52/1099511627776</x:f>
        <x:v>0.0006211802674442879</x:v>
      </x:c>
      <x:c r="J52" s="52" t="n">
        <x:f>H52/SUM($H$5:$H$70)</x:f>
        <x:v>0.000002243347976788929</x:v>
      </x:c>
      <x:c r="K52" s="52" t="n">
        <x:f>SUM($J$5:J52)</x:f>
        <x:v>0.9999904311499971</x:v>
      </x:c>
      <x:c r="L52" s="49" t="n">
        <x:f>G52/1099511627776</x:f>
        <x:v>0.008783331769336655</x:v>
      </x:c>
      <x:c r="M52" s="46" t="n">
        <x:v>718.93</x:v>
      </x:c>
      <x:c r="N52" s="46" t="n">
        <x:v>50.84</x:v>
      </x:c>
      <x:c r="O52" s="46" t="n">
        <x:v>14.14</x:v>
      </x:c>
      <x:c r="P52" s="34" t="str">
        <x:v>651.35 MiB</x:v>
      </x:c>
    </x:row>
    <x:row r="53">
      <x:c r="A53" s="37" t="n">
        <x:f>ROW()-4</x:f>
        <x:v>49</x:v>
      </x:c>
      <x:c r="B53" s="34" t="str">
        <x:v>ztna_user_log_local</x:v>
      </x:c>
      <x:c r="C53" s="37" t="str">
        <x:f>IF(I53*1024&gt;='汇总'!$B$14,"超大表",IF(I53*1024&gt;='汇总'!$B$15,"大表",IF(I53*1024&gt;='汇总'!$B$16,"中表","小表")))</x:f>
        <x:v>小表</x:v>
      </x:c>
      <x:c r="D53" s="37" t="str">
        <x:f>IF(E53&gt;='汇总'!$H$14,"超高行数",IF(E53&gt;='汇总'!$H$15,"高行数",IF(E53&gt;='汇总'!$H$16,"中行数","低行数")))</x:f>
        <x:v>低行数</x:v>
      </x:c>
      <x:c r="E53" s="43" t="n">
        <x:v>6254899</x:v>
      </x:c>
      <x:c r="F53" s="46" t="n">
        <x:f>E53/100000000</x:f>
        <x:v>0.06254899</x:v>
      </x:c>
      <x:c r="G53" s="43" t="n">
        <x:v>9952002017</x:v>
      </x:c>
      <x:c r="H53" s="43" t="n">
        <x:v>671906123</x:v>
      </x:c>
      <x:c r="I53" s="49" t="n">
        <x:f>H53/1099511627776</x:f>
        <x:v>0.0006110950589572894</x:v>
      </x:c>
      <x:c r="J53" s="52" t="n">
        <x:f>H53/SUM($H$5:$H$70)</x:f>
        <x:v>0.0000022069259697797778</x:v>
      </x:c>
      <x:c r="K53" s="52" t="n">
        <x:f>SUM($J$5:J53)</x:f>
        <x:v>0.9999926380759668</x:v>
      </x:c>
      <x:c r="L53" s="49" t="n">
        <x:f>G53/1099511627776</x:f>
        <x:v>0.009051293106494995</x:v>
      </x:c>
      <x:c r="M53" s="46" t="n">
        <x:v>1591.07</x:v>
      </x:c>
      <x:c r="N53" s="46" t="n">
        <x:v>107.42</x:v>
      </x:c>
      <x:c r="O53" s="46" t="n">
        <x:v>14.81</x:v>
      </x:c>
      <x:c r="P53" s="34" t="str">
        <x:v>640.78 MiB</x:v>
      </x:c>
    </x:row>
    <x:row r="54">
      <x:c r="A54" s="37" t="n">
        <x:f>ROW()-4</x:f>
        <x:v>50</x:v>
      </x:c>
      <x:c r="B54" s="34" t="str">
        <x:v>imap_login_log_local</x:v>
      </x:c>
      <x:c r="C54" s="37" t="str">
        <x:f>IF(I54*1024&gt;='汇总'!$B$14,"超大表",IF(I54*1024&gt;='汇总'!$B$15,"大表",IF(I54*1024&gt;='汇总'!$B$16,"中表","小表")))</x:f>
        <x:v>小表</x:v>
      </x:c>
      <x:c r="D54" s="37" t="str">
        <x:f>IF(E54&gt;='汇总'!$H$14,"超高行数",IF(E54&gt;='汇总'!$H$15,"高行数",IF(E54&gt;='汇总'!$H$16,"中行数","低行数")))</x:f>
        <x:v>低行数</x:v>
      </x:c>
      <x:c r="E54" s="43" t="n">
        <x:v>13138456</x:v>
      </x:c>
      <x:c r="F54" s="46" t="n">
        <x:f>E54/100000000</x:f>
        <x:v>0.13138456</x:v>
      </x:c>
      <x:c r="G54" s="43" t="n">
        <x:v>9817111080</x:v>
      </x:c>
      <x:c r="H54" s="43" t="n">
        <x:v>611645191</x:v>
      </x:c>
      <x:c r="I54" s="49" t="n">
        <x:f>H54/1099511627776</x:f>
        <x:v>0.0005562880605793907</x:v>
      </x:c>
      <x:c r="J54" s="52" t="n">
        <x:f>H54/SUM($H$5:$H$70)</x:f>
        <x:v>0.0000020089944266050577</x:v>
      </x:c>
      <x:c r="K54" s="52" t="n">
        <x:f>SUM($J$5:J54)</x:f>
        <x:v>0.9999946470703934</x:v>
      </x:c>
      <x:c r="L54" s="49" t="n">
        <x:f>G54/1099511627776</x:f>
        <x:v>0.00892861051397631</x:v>
      </x:c>
      <x:c r="M54" s="46" t="n">
        <x:v>747.2</x:v>
      </x:c>
      <x:c r="N54" s="46" t="n">
        <x:v>46.55</x:v>
      </x:c>
      <x:c r="O54" s="46" t="n">
        <x:v>16.05</x:v>
      </x:c>
      <x:c r="P54" s="34" t="str">
        <x:v>583.31 MiB</x:v>
      </x:c>
    </x:row>
    <x:row r="55">
      <x:c r="A55" s="37" t="n">
        <x:f>ROW()-4</x:f>
        <x:v>51</x:v>
      </x:c>
      <x:c r="B55" s="34" t="str">
        <x:v>socks_log_local</x:v>
      </x:c>
      <x:c r="C55" s="37" t="str">
        <x:f>IF(I55*1024&gt;='汇总'!$B$14,"超大表",IF(I55*1024&gt;='汇总'!$B$15,"大表",IF(I55*1024&gt;='汇总'!$B$16,"中表","小表")))</x:f>
        <x:v>小表</x:v>
      </x:c>
      <x:c r="D55" s="37" t="str">
        <x:f>IF(E55&gt;='汇总'!$H$14,"超高行数",IF(E55&gt;='汇总'!$H$15,"高行数",IF(E55&gt;='汇总'!$H$16,"中行数","低行数")))</x:f>
        <x:v>低行数</x:v>
      </x:c>
      <x:c r="E55" s="43" t="n">
        <x:v>13633328</x:v>
      </x:c>
      <x:c r="F55" s="46" t="n">
        <x:f>E55/100000000</x:f>
        <x:v>0.13633328</x:v>
      </x:c>
      <x:c r="G55" s="43" t="n">
        <x:v>10071179428</x:v>
      </x:c>
      <x:c r="H55" s="43" t="n">
        <x:v>325867062</x:v>
      </x:c>
      <x:c r="I55" s="49" t="n">
        <x:f>H55/1099511627776</x:f>
        <x:v>0.0002963743663713103</x:v>
      </x:c>
      <x:c r="J55" s="52" t="n">
        <x:f>H55/SUM($H$5:$H$70)</x:f>
        <x:v>0.0000010703347643456986</x:v>
      </x:c>
      <x:c r="K55" s="52" t="n">
        <x:f>SUM($J$5:J55)</x:f>
        <x:v>0.9999957174051578</x:v>
      </x:c>
      <x:c r="L55" s="49" t="n">
        <x:f>G55/1099511627776</x:f>
        <x:v>0.00915968433037051</x:v>
      </x:c>
      <x:c r="M55" s="46" t="n">
        <x:v>738.72</x:v>
      </x:c>
      <x:c r="N55" s="46" t="n">
        <x:v>23.9</x:v>
      </x:c>
      <x:c r="O55" s="46" t="n">
        <x:v>30.91</x:v>
      </x:c>
      <x:c r="P55" s="34" t="str">
        <x:v>310.77 MiB</x:v>
      </x:c>
    </x:row>
    <x:row r="56">
      <x:c r="A56" s="37" t="n">
        <x:f>ROW()-4</x:f>
        <x:v>52</x:v>
      </x:c>
      <x:c r="B56" s="34" t="str">
        <x:v>smtp_log_local</x:v>
      </x:c>
      <x:c r="C56" s="37" t="str">
        <x:f>IF(I56*1024&gt;='汇总'!$B$14,"超大表",IF(I56*1024&gt;='汇总'!$B$15,"大表",IF(I56*1024&gt;='汇总'!$B$16,"中表","小表")))</x:f>
        <x:v>小表</x:v>
      </x:c>
      <x:c r="D56" s="37" t="str">
        <x:f>IF(E56&gt;='汇总'!$H$14,"超高行数",IF(E56&gt;='汇总'!$H$15,"高行数",IF(E56&gt;='汇总'!$H$16,"中行数","低行数")))</x:f>
        <x:v>低行数</x:v>
      </x:c>
      <x:c r="E56" s="43" t="n">
        <x:v>2012848</x:v>
      </x:c>
      <x:c r="F56" s="46" t="n">
        <x:f>E56/100000000</x:f>
        <x:v>0.02012848</x:v>
      </x:c>
      <x:c r="G56" s="43" t="n">
        <x:v>2987086225</x:v>
      </x:c>
      <x:c r="H56" s="43" t="n">
        <x:v>311989765</x:v>
      </x:c>
      <x:c r="I56" s="49" t="n">
        <x:f>H56/1099511627776</x:f>
        <x:v>0.00028375303827488096</x:v>
      </x:c>
      <x:c r="J56" s="52" t="n">
        <x:f>H56/SUM($H$5:$H$70)</x:f>
        <x:v>0.0000010247537432904</x:v>
      </x:c>
      <x:c r="K56" s="52" t="n">
        <x:f>SUM($J$5:J56)</x:f>
        <x:v>0.9999967421589011</x:v>
      </x:c>
      <x:c r="L56" s="49" t="n">
        <x:f>G56/1099511627776</x:f>
        <x:v>0.002716739095376397</x:v>
      </x:c>
      <x:c r="M56" s="46" t="n">
        <x:v>1484.01</x:v>
      </x:c>
      <x:c r="N56" s="46" t="n">
        <x:v>155</x:v>
      </x:c>
      <x:c r="O56" s="46" t="n">
        <x:v>9.57</x:v>
      </x:c>
      <x:c r="P56" s="34" t="str">
        <x:v>297.54 MiB</x:v>
      </x:c>
    </x:row>
    <x:row r="57">
      <x:c r="A57" s="37" t="n">
        <x:f>ROW()-4</x:f>
        <x:v>53</x:v>
      </x:c>
      <x:c r="B57" s="34" t="str">
        <x:v>alp_log_local</x:v>
      </x:c>
      <x:c r="C57" s="37" t="str">
        <x:f>IF(I57*1024&gt;='汇总'!$B$14,"超大表",IF(I57*1024&gt;='汇总'!$B$15,"大表",IF(I57*1024&gt;='汇总'!$B$16,"中表","小表")))</x:f>
        <x:v>小表</x:v>
      </x:c>
      <x:c r="D57" s="37" t="str">
        <x:f>IF(E57&gt;='汇总'!$H$14,"超高行数",IF(E57&gt;='汇总'!$H$15,"高行数",IF(E57&gt;='汇总'!$H$16,"中行数","低行数")))</x:f>
        <x:v>低行数</x:v>
      </x:c>
      <x:c r="E57" s="43" t="n">
        <x:v>2484739</x:v>
      </x:c>
      <x:c r="F57" s="46" t="n">
        <x:f>E57/100000000</x:f>
        <x:v>0.02484739</x:v>
      </x:c>
      <x:c r="G57" s="43" t="n">
        <x:v>2816045858</x:v>
      </x:c>
      <x:c r="H57" s="43" t="n">
        <x:v>251536725</x:v>
      </x:c>
      <x:c r="I57" s="49" t="n">
        <x:f>H57/1099511627776</x:f>
        <x:v>0.00022877131868881406</x:v>
      </x:c>
      <x:c r="J57" s="52" t="n">
        <x:f>H57/SUM($H$5:$H$70)</x:f>
        <x:v>8.261912070056463e-7</x:v>
      </x:c>
      <x:c r="K57" s="52" t="n">
        <x:f>SUM($J$5:J57)</x:f>
        <x:v>0.9999975683501081</x:v>
      </x:c>
      <x:c r="L57" s="49" t="n">
        <x:f>G57/1099511627776</x:f>
        <x:v>0.0025611787878006</x:v>
      </x:c>
      <x:c r="M57" s="46" t="n">
        <x:v>1133.34</x:v>
      </x:c>
      <x:c r="N57" s="46" t="n">
        <x:v>101.23</x:v>
      </x:c>
      <x:c r="O57" s="46" t="n">
        <x:v>11.2</x:v>
      </x:c>
      <x:c r="P57" s="34" t="str">
        <x:v>239.88 MiB</x:v>
      </x:c>
    </x:row>
    <x:row r="58">
      <x:c r="A58" s="37" t="n">
        <x:f>ROW()-4</x:f>
        <x:v>54</x:v>
      </x:c>
      <x:c r="B58" s="34" t="str">
        <x:v>smtp_login_log_local</x:v>
      </x:c>
      <x:c r="C58" s="37" t="str">
        <x:f>IF(I58*1024&gt;='汇总'!$B$14,"超大表",IF(I58*1024&gt;='汇总'!$B$15,"大表",IF(I58*1024&gt;='汇总'!$B$16,"中表","小表")))</x:f>
        <x:v>小表</x:v>
      </x:c>
      <x:c r="D58" s="37" t="str">
        <x:f>IF(E58&gt;='汇总'!$H$14,"超高行数",IF(E58&gt;='汇总'!$H$15,"高行数",IF(E58&gt;='汇总'!$H$16,"中行数","低行数")))</x:f>
        <x:v>低行数</x:v>
      </x:c>
      <x:c r="E58" s="43" t="n">
        <x:v>4823408</x:v>
      </x:c>
      <x:c r="F58" s="46" t="n">
        <x:f>E58/100000000</x:f>
        <x:v>0.04823408</x:v>
      </x:c>
      <x:c r="G58" s="43" t="n">
        <x:v>3461726577</x:v>
      </x:c>
      <x:c r="H58" s="43" t="n">
        <x:v>186213299</x:v>
      </x:c>
      <x:c r="I58" s="49" t="n">
        <x:f>H58/1099511627776</x:f>
        <x:v>0.00016936000884015812</x:v>
      </x:c>
      <x:c r="J58" s="52" t="n">
        <x:f>H58/SUM($H$5:$H$70)</x:f>
        <x:v>6.116315232350795e-7</x:v>
      </x:c>
      <x:c r="K58" s="52" t="n">
        <x:f>SUM($J$5:J58)</x:f>
        <x:v>0.9999981799816313</x:v>
      </x:c>
      <x:c r="L58" s="49" t="n">
        <x:f>G58/1099511627776</x:f>
        <x:v>0.0031484219807680347</x:v>
      </x:c>
      <x:c r="M58" s="46" t="n">
        <x:v>717.69</x:v>
      </x:c>
      <x:c r="N58" s="46" t="n">
        <x:v>38.61</x:v>
      </x:c>
      <x:c r="O58" s="46" t="n">
        <x:v>18.59</x:v>
      </x:c>
      <x:c r="P58" s="34" t="str">
        <x:v>177.59 MiB</x:v>
      </x:c>
    </x:row>
    <x:row r="59">
      <x:c r="A59" s="37" t="n">
        <x:f>ROW()-4</x:f>
        <x:v>55</x:v>
      </x:c>
      <x:c r="B59" s="34" t="str">
        <x:v>ai_security_log_local</x:v>
      </x:c>
      <x:c r="C59" s="37" t="str">
        <x:f>IF(I59*1024&gt;='汇总'!$B$14,"超大表",IF(I59*1024&gt;='汇总'!$B$15,"大表",IF(I59*1024&gt;='汇总'!$B$16,"中表","小表")))</x:f>
        <x:v>小表</x:v>
      </x:c>
      <x:c r="D59" s="37" t="str">
        <x:f>IF(E59&gt;='汇总'!$H$14,"超高行数",IF(E59&gt;='汇总'!$H$15,"高行数",IF(E59&gt;='汇总'!$H$16,"中行数","低行数")))</x:f>
        <x:v>低行数</x:v>
      </x:c>
      <x:c r="E59" s="43" t="n">
        <x:v>2228336</x:v>
      </x:c>
      <x:c r="F59" s="46" t="n">
        <x:f>E59/100000000</x:f>
        <x:v>0.02228336</x:v>
      </x:c>
      <x:c r="G59" s="43" t="n">
        <x:v>3040610063</x:v>
      </x:c>
      <x:c r="H59" s="43" t="n">
        <x:v>150994483</x:v>
      </x:c>
      <x:c r="I59" s="49" t="n">
        <x:f>H59/1099511627776</x:f>
        <x:v>0.00013732868228544248</x:v>
      </x:c>
      <x:c r="J59" s="52" t="n">
        <x:f>H59/SUM($H$5:$H$70)</x:f>
        <x:v>4.959526850839118e-7</x:v>
      </x:c>
      <x:c r="K59" s="52" t="n">
        <x:f>SUM($J$5:J59)</x:f>
        <x:v>0.9999986759343164</x:v>
      </x:c>
      <x:c r="L59" s="49" t="n">
        <x:f>G59/1099511627776</x:f>
        <x:v>0.0027654187424559495</x:v>
      </x:c>
      <x:c r="M59" s="46" t="n">
        <x:v>1364.52</x:v>
      </x:c>
      <x:c r="N59" s="46" t="n">
        <x:v>67.76</x:v>
      </x:c>
      <x:c r="O59" s="46" t="n">
        <x:v>20.14</x:v>
      </x:c>
      <x:c r="P59" s="34" t="str">
        <x:v>144.00 MiB</x:v>
      </x:c>
    </x:row>
    <x:row r="60">
      <x:c r="A60" s="37" t="n">
        <x:f>ROW()-4</x:f>
        <x:v>56</x:v>
      </x:c>
      <x:c r="B60" s="34" t="str">
        <x:v>ztna_user_security_log_local</x:v>
      </x:c>
      <x:c r="C60" s="37" t="str">
        <x:f>IF(I60*1024&gt;='汇总'!$B$14,"超大表",IF(I60*1024&gt;='汇总'!$B$15,"大表",IF(I60*1024&gt;='汇总'!$B$16,"中表","小表")))</x:f>
        <x:v>小表</x:v>
      </x:c>
      <x:c r="D60" s="37" t="str">
        <x:f>IF(E60&gt;='汇总'!$H$14,"超高行数",IF(E60&gt;='汇总'!$H$15,"高行数",IF(E60&gt;='汇总'!$H$16,"中行数","低行数")))</x:f>
        <x:v>低行数</x:v>
      </x:c>
      <x:c r="E60" s="43" t="n">
        <x:v>726572</x:v>
      </x:c>
      <x:c r="F60" s="46" t="n">
        <x:f>E60/100000000</x:f>
        <x:v>0.00726572</x:v>
      </x:c>
      <x:c r="G60" s="43" t="n">
        <x:v>1668040339</x:v>
      </x:c>
      <x:c r="H60" s="43" t="n">
        <x:v>113774045</x:v>
      </x:c>
      <x:c r="I60" s="49" t="n">
        <x:f>H60/1099511627776</x:f>
        <x:v>0.00010347689112677472</x:v>
      </x:c>
      <x:c r="J60" s="52" t="n">
        <x:f>H60/SUM($H$5:$H$70)</x:f>
        <x:v>3.736993696028471e-7</x:v>
      </x:c>
      <x:c r="K60" s="52" t="n">
        <x:f>SUM($J$5:J60)</x:f>
        <x:v>0.9999990496336859</x:v>
      </x:c>
      <x:c r="L60" s="49" t="n">
        <x:f>G60/1099511627776</x:f>
        <x:v>0.0015170738506640191</x:v>
      </x:c>
      <x:c r="M60" s="46" t="n">
        <x:v>2295.77</x:v>
      </x:c>
      <x:c r="N60" s="46" t="n">
        <x:v>156.59</x:v>
      </x:c>
      <x:c r="O60" s="46" t="n">
        <x:v>14.66</x:v>
      </x:c>
      <x:c r="P60" s="34" t="str">
        <x:v>108.50 MiB</x:v>
      </x:c>
    </x:row>
    <x:row r="61">
      <x:c r="A61" s="37" t="n">
        <x:f>ROW()-4</x:f>
        <x:v>57</x:v>
      </x:c>
      <x:c r="B61" s="34" t="str">
        <x:v>telnet_login_log_local</x:v>
      </x:c>
      <x:c r="C61" s="37" t="str">
        <x:f>IF(I61*1024&gt;='汇总'!$B$14,"超大表",IF(I61*1024&gt;='汇总'!$B$15,"大表",IF(I61*1024&gt;='汇总'!$B$16,"中表","小表")))</x:f>
        <x:v>小表</x:v>
      </x:c>
      <x:c r="D61" s="37" t="str">
        <x:f>IF(E61&gt;='汇总'!$H$14,"超高行数",IF(E61&gt;='汇总'!$H$15,"高行数",IF(E61&gt;='汇总'!$H$16,"中行数","低行数")))</x:f>
        <x:v>低行数</x:v>
      </x:c>
      <x:c r="E61" s="43" t="n">
        <x:v>1954274</x:v>
      </x:c>
      <x:c r="F61" s="46" t="n">
        <x:f>E61/100000000</x:f>
        <x:v>0.01954274</x:v>
      </x:c>
      <x:c r="G61" s="43" t="n">
        <x:v>1630491111</x:v>
      </x:c>
      <x:c r="H61" s="43" t="n">
        <x:v>84524717</x:v>
      </x:c>
      <x:c r="I61" s="49" t="n">
        <x:f>H61/1099511627776</x:f>
        <x:v>0.00007687478228035616</x:v>
      </x:c>
      <x:c r="J61" s="52" t="n">
        <x:f>H61/SUM($H$5:$H$70)</x:f>
        <x:v>2.776277617514527e-7</x:v>
      </x:c>
      <x:c r="K61" s="52" t="n">
        <x:f>SUM($J$5:J61)</x:f>
        <x:v>0.9999993272614477</x:v>
      </x:c>
      <x:c r="L61" s="49" t="n">
        <x:f>G61/1099511627776</x:f>
        <x:v>0.0014829230267423554</x:v>
      </x:c>
      <x:c r="M61" s="46" t="n">
        <x:v>834.32</x:v>
      </x:c>
      <x:c r="N61" s="46" t="n">
        <x:v>43.25</x:v>
      </x:c>
      <x:c r="O61" s="46" t="n">
        <x:v>19.29</x:v>
      </x:c>
      <x:c r="P61" s="34" t="str">
        <x:v>80.61 MiB</x:v>
      </x:c>
    </x:row>
    <x:row r="62">
      <x:c r="A62" s="37" t="n">
        <x:f>ROW()-4</x:f>
        <x:v>58</x:v>
      </x:c>
      <x:c r="B62" s="34" t="str">
        <x:v>entraid_audit_log_local</x:v>
      </x:c>
      <x:c r="C62" s="37" t="str">
        <x:f>IF(I62*1024&gt;='汇总'!$B$14,"超大表",IF(I62*1024&gt;='汇总'!$B$15,"大表",IF(I62*1024&gt;='汇总'!$B$16,"中表","小表")))</x:f>
        <x:v>小表</x:v>
      </x:c>
      <x:c r="D62" s="37" t="str">
        <x:f>IF(E62&gt;='汇总'!$H$14,"超高行数",IF(E62&gt;='汇总'!$H$15,"高行数",IF(E62&gt;='汇总'!$H$16,"中行数","低行数")))</x:f>
        <x:v>低行数</x:v>
      </x:c>
      <x:c r="E62" s="43" t="n">
        <x:v>508371</x:v>
      </x:c>
      <x:c r="F62" s="46" t="n">
        <x:f>E62/100000000</x:f>
        <x:v>0.00508371</x:v>
      </x:c>
      <x:c r="G62" s="43" t="n">
        <x:v>1268385565</x:v>
      </x:c>
      <x:c r="H62" s="43" t="n">
        <x:v>83249904</x:v>
      </x:c>
      <x:c r="I62" s="49" t="n">
        <x:f>H62/1099511627776</x:f>
        <x:v>0.0000757153466111049</x:v>
      </x:c>
      <x:c r="J62" s="52" t="n">
        <x:f>H62/SUM($H$5:$H$70)</x:f>
        <x:v>2.734405430016797e-7</x:v>
      </x:c>
      <x:c r="K62" s="52" t="n">
        <x:f>SUM($J$5:J62)</x:f>
        <x:v>0.9999996007019907</x:v>
      </x:c>
      <x:c r="L62" s="49" t="n">
        <x:f>G62/1099511627776</x:f>
        <x:v>0.001153589951172762</x:v>
      </x:c>
      <x:c r="M62" s="46" t="n">
        <x:v>2495</x:v>
      </x:c>
      <x:c r="N62" s="46" t="n">
        <x:v>163.76</x:v>
      </x:c>
      <x:c r="O62" s="46" t="n">
        <x:v>15.24</x:v>
      </x:c>
      <x:c r="P62" s="34" t="str">
        <x:v>79.39 MiB</x:v>
      </x:c>
    </x:row>
    <x:row r="63">
      <x:c r="A63" s="37" t="n">
        <x:f>ROW()-4</x:f>
        <x:v>59</x:v>
      </x:c>
      <x:c r="B63" s="34" t="str">
        <x:v>nfs_log_local</x:v>
      </x:c>
      <x:c r="C63" s="37" t="str">
        <x:f>IF(I63*1024&gt;='汇总'!$B$14,"超大表",IF(I63*1024&gt;='汇总'!$B$15,"大表",IF(I63*1024&gt;='汇总'!$B$16,"中表","小表")))</x:f>
        <x:v>小表</x:v>
      </x:c>
      <x:c r="D63" s="37" t="str">
        <x:f>IF(E63&gt;='汇总'!$H$14,"超高行数",IF(E63&gt;='汇总'!$H$15,"高行数",IF(E63&gt;='汇总'!$H$16,"中行数","低行数")))</x:f>
        <x:v>低行数</x:v>
      </x:c>
      <x:c r="E63" s="43" t="n">
        <x:v>3076905</x:v>
      </x:c>
      <x:c r="F63" s="46" t="n">
        <x:f>E63/100000000</x:f>
        <x:v>0.03076905</x:v>
      </x:c>
      <x:c r="G63" s="43" t="n">
        <x:v>2267171773</x:v>
      </x:c>
      <x:c r="H63" s="43" t="n">
        <x:v>46466066</x:v>
      </x:c>
      <x:c r="I63" s="49" t="n">
        <x:f>H63/1099511627776</x:f>
        <x:v>0.0000422606408392312</x:v>
      </x:c>
      <x:c r="J63" s="52" t="n">
        <x:f>H63/SUM($H$5:$H$70)</x:f>
        <x:v>1.5262127291091997e-7</x:v>
      </x:c>
      <x:c r="K63" s="52" t="n">
        <x:f>SUM($J$5:J63)</x:f>
        <x:v>0.9999997533232636</x:v>
      </x:c>
      <x:c r="L63" s="49" t="n">
        <x:f>G63/1099511627776</x:f>
        <x:v>0.002061980715552636</x:v>
      </x:c>
      <x:c r="M63" s="46" t="n">
        <x:v>736.84</x:v>
      </x:c>
      <x:c r="N63" s="46" t="n">
        <x:v>15.1</x:v>
      </x:c>
      <x:c r="O63" s="46" t="n">
        <x:v>48.79</x:v>
      </x:c>
      <x:c r="P63" s="34" t="str">
        <x:v>44.31 MiB</x:v>
      </x:c>
    </x:row>
    <x:row r="64">
      <x:c r="A64" s="37" t="n">
        <x:f>ROW()-4</x:f>
        <x:v>60</x:v>
      </x:c>
      <x:c r="B64" s="34" t="str">
        <x:v>db2_log_local</x:v>
      </x:c>
      <x:c r="C64" s="37" t="str">
        <x:f>IF(I64*1024&gt;='汇总'!$B$14,"超大表",IF(I64*1024&gt;='汇总'!$B$15,"大表",IF(I64*1024&gt;='汇总'!$B$16,"中表","小表")))</x:f>
        <x:v>小表</x:v>
      </x:c>
      <x:c r="D64" s="37" t="str">
        <x:f>IF(E64&gt;='汇总'!$H$14,"超高行数",IF(E64&gt;='汇总'!$H$15,"高行数",IF(E64&gt;='汇总'!$H$16,"中行数","低行数")))</x:f>
        <x:v>低行数</x:v>
      </x:c>
      <x:c r="E64" s="43" t="n">
        <x:v>1151360</x:v>
      </x:c>
      <x:c r="F64" s="46" t="n">
        <x:f>E64/100000000</x:f>
        <x:v>0.0115136</x:v>
      </x:c>
      <x:c r="G64" s="43" t="n">
        <x:v>969281063</x:v>
      </x:c>
      <x:c r="H64" s="43" t="n">
        <x:v>32135022</x:v>
      </x:c>
      <x:c r="I64" s="49" t="n">
        <x:f>H64/1099511627776</x:f>
        <x:v>0.000029226632250356488</x:v>
      </x:c>
      <x:c r="J64" s="52" t="n">
        <x:f>H64/SUM($H$5:$H$70)</x:f>
        <x:v>1.0554988585993953e-7</x:v>
      </x:c>
      <x:c r="K64" s="52" t="n">
        <x:f>SUM($J$5:J64)</x:f>
        <x:v>0.9999998588731495</x:v>
      </x:c>
      <x:c r="L64" s="49" t="n">
        <x:f>G64/1099511627776</x:f>
        <x:v>0.0008815559913273319</x:v>
      </x:c>
      <x:c r="M64" s="46" t="n">
        <x:v>841.86</x:v>
      </x:c>
      <x:c r="N64" s="46" t="n">
        <x:v>27.91</x:v>
      </x:c>
      <x:c r="O64" s="46" t="n">
        <x:v>30.16</x:v>
      </x:c>
      <x:c r="P64" s="34" t="str">
        <x:v>30.65 MiB</x:v>
      </x:c>
    </x:row>
    <x:row r="65">
      <x:c r="A65" s="37" t="n">
        <x:f>ROW()-4</x:f>
        <x:v>61</x:v>
      </x:c>
      <x:c r="B65" s="34" t="str">
        <x:v>sas_log_local</x:v>
      </x:c>
      <x:c r="C65" s="37" t="str">
        <x:f>IF(I65*1024&gt;='汇总'!$B$14,"超大表",IF(I65*1024&gt;='汇总'!$B$15,"大表",IF(I65*1024&gt;='汇总'!$B$16,"中表","小表")))</x:f>
        <x:v>小表</x:v>
      </x:c>
      <x:c r="D65" s="37" t="str">
        <x:f>IF(E65&gt;='汇总'!$H$14,"超高行数",IF(E65&gt;='汇总'!$H$15,"高行数",IF(E65&gt;='汇总'!$H$16,"中行数","低行数")))</x:f>
        <x:v>低行数</x:v>
      </x:c>
      <x:c r="E65" s="43" t="n">
        <x:v>215851</x:v>
      </x:c>
      <x:c r="F65" s="46" t="n">
        <x:f>E65/100000000</x:f>
        <x:v>0.00215851</x:v>
      </x:c>
      <x:c r="G65" s="43" t="n">
        <x:v>261243450</x:v>
      </x:c>
      <x:c r="H65" s="43" t="n">
        <x:v>22624638</x:v>
      </x:c>
      <x:c r="I65" s="49" t="n">
        <x:f>H65/1099511627776</x:f>
        <x:v>0.00002057698839053046</x:v>
      </x:c>
      <x:c r="J65" s="52" t="n">
        <x:f>H65/SUM($H$5:$H$70)</x:f>
        <x:v>7.431231752455158e-8</x:v>
      </x:c>
      <x:c r="K65" s="52" t="n">
        <x:f>SUM($J$5:J65)</x:f>
        <x:v>0.999999933185467</x:v>
      </x:c>
      <x:c r="L65" s="49" t="n">
        <x:f>G65/1099511627776</x:f>
        <x:v>0.0002375995336478809</x:v>
      </x:c>
      <x:c r="M65" s="46" t="n">
        <x:v>1210.3</x:v>
      </x:c>
      <x:c r="N65" s="46" t="n">
        <x:v>104.82</x:v>
      </x:c>
      <x:c r="O65" s="46" t="n">
        <x:v>11.55</x:v>
      </x:c>
      <x:c r="P65" s="34" t="str">
        <x:v>21.58 MiB</x:v>
      </x:c>
    </x:row>
    <x:row r="66">
      <x:c r="A66" s="37" t="n">
        <x:f>ROW()-4</x:f>
        <x:v>62</x:v>
      </x:c>
      <x:c r="B66" s="34" t="str">
        <x:v>endpoint_telemetry_security_log_local</x:v>
      </x:c>
      <x:c r="C66" s="37" t="str">
        <x:f>IF(I66*1024&gt;='汇总'!$B$14,"超大表",IF(I66*1024&gt;='汇总'!$B$15,"大表",IF(I66*1024&gt;='汇总'!$B$16,"中表","小表")))</x:f>
        <x:v>小表</x:v>
      </x:c>
      <x:c r="D66" s="37" t="str">
        <x:f>IF(E66&gt;='汇总'!$H$14,"超高行数",IF(E66&gt;='汇总'!$H$15,"高行数",IF(E66&gt;='汇总'!$H$16,"中行数","低行数")))</x:f>
        <x:v>低行数</x:v>
      </x:c>
      <x:c r="E66" s="43" t="n">
        <x:v>13389</x:v>
      </x:c>
      <x:c r="F66" s="46" t="n">
        <x:f>E66/100000000</x:f>
        <x:v>0.00013389</x:v>
      </x:c>
      <x:c r="G66" s="43" t="n">
        <x:v>15832481</x:v>
      </x:c>
      <x:c r="H66" s="43" t="n">
        <x:v>10433172</x:v>
      </x:c>
      <x:c r="I66" s="49" t="n">
        <x:f>H66/1099511627776</x:f>
        <x:v>0.000009488914656685665</x:v>
      </x:c>
      <x:c r="J66" s="52" t="n">
        <x:f>H66/SUM($H$5:$H$70)</x:f>
        <x:v>3.426853461488581e-8</x:v>
      </x:c>
      <x:c r="K66" s="52" t="n">
        <x:f>SUM($J$5:J66)</x:f>
        <x:v>0.9999999674540015</x:v>
      </x:c>
      <x:c r="L66" s="49" t="n">
        <x:f>G66/1099511627776</x:f>
        <x:v>0.000014399557585420553</x:v>
      </x:c>
      <x:c r="M66" s="46" t="n">
        <x:v>1182.5</x:v>
      </x:c>
      <x:c r="N66" s="46" t="n">
        <x:v>779.23</x:v>
      </x:c>
      <x:c r="O66" s="46" t="n">
        <x:v>1.52</x:v>
      </x:c>
      <x:c r="P66" s="34" t="str">
        <x:v>9.95 MiB</x:v>
      </x:c>
    </x:row>
    <x:row r="67">
      <x:c r="A67" s="37" t="n">
        <x:f>ROW()-4</x:f>
        <x:v>63</x:v>
      </x:c>
      <x:c r="B67" s="34" t="str">
        <x:v>imap_log_local</x:v>
      </x:c>
      <x:c r="C67" s="37" t="str">
        <x:f>IF(I67*1024&gt;='汇总'!$B$14,"超大表",IF(I67*1024&gt;='汇总'!$B$15,"大表",IF(I67*1024&gt;='汇总'!$B$16,"中表","小表")))</x:f>
        <x:v>小表</x:v>
      </x:c>
      <x:c r="D67" s="37" t="str">
        <x:f>IF(E67&gt;='汇总'!$H$14,"超高行数",IF(E67&gt;='汇总'!$H$15,"高行数",IF(E67&gt;='汇总'!$H$16,"中行数","低行数")))</x:f>
        <x:v>低行数</x:v>
      </x:c>
      <x:c r="E67" s="43" t="n">
        <x:v>3782</x:v>
      </x:c>
      <x:c r="F67" s="46" t="n">
        <x:f>E67/100000000</x:f>
        <x:v>0.00003782</x:v>
      </x:c>
      <x:c r="G67" s="43" t="n">
        <x:v>18871766</x:v>
      </x:c>
      <x:c r="H67" s="43" t="n">
        <x:v>5075904</x:v>
      </x:c>
      <x:c r="I67" s="49" t="n">
        <x:f>H67/1099511627776</x:f>
        <x:v>0.0000046165077947080135</x:v>
      </x:c>
      <x:c r="J67" s="52" t="n">
        <x:f>H67/SUM($H$5:$H$70)</x:f>
        <x:v>1.6672186744916824e-8</x:v>
      </x:c>
      <x:c r="K67" s="52" t="n">
        <x:f>SUM($J$5:J67)</x:f>
        <x:v>0.9999999841261883</x:v>
      </x:c>
      <x:c r="L67" s="49" t="n">
        <x:f>G67/1099511627776</x:f>
        <x:v>0.000017163771190098487</x:v>
      </x:c>
      <x:c r="M67" s="46" t="n">
        <x:v>4989.89</x:v>
      </x:c>
      <x:c r="N67" s="46" t="n">
        <x:v>1342.12</x:v>
      </x:c>
      <x:c r="O67" s="46" t="n">
        <x:v>3.72</x:v>
      </x:c>
      <x:c r="P67" s="34" t="str">
        <x:v>4.84 MiB</x:v>
      </x:c>
    </x:row>
    <x:row r="68">
      <x:c r="A68" s="37" t="n">
        <x:f>ROW()-4</x:f>
        <x:v>64</x:v>
      </x:c>
      <x:c r="B68" s="34" t="str">
        <x:v>pop3_log_local</x:v>
      </x:c>
      <x:c r="C68" s="37" t="str">
        <x:f>IF(I68*1024&gt;='汇总'!$B$14,"超大表",IF(I68*1024&gt;='汇总'!$B$15,"大表",IF(I68*1024&gt;='汇总'!$B$16,"中表","小表")))</x:f>
        <x:v>小表</x:v>
      </x:c>
      <x:c r="D68" s="37" t="str">
        <x:f>IF(E68&gt;='汇总'!$H$14,"超高行数",IF(E68&gt;='汇总'!$H$15,"高行数",IF(E68&gt;='汇总'!$H$16,"中行数","低行数")))</x:f>
        <x:v>低行数</x:v>
      </x:c>
      <x:c r="E68" s="43" t="n">
        <x:v>6191</x:v>
      </x:c>
      <x:c r="F68" s="46" t="n">
        <x:f>E68/100000000</x:f>
        <x:v>0.00006191</x:v>
      </x:c>
      <x:c r="G68" s="43" t="n">
        <x:v>22173910</x:v>
      </x:c>
      <x:c r="H68" s="43" t="n">
        <x:v>4527853</x:v>
      </x:c>
      <x:c r="I68" s="49" t="n">
        <x:f>H68/1099511627776</x:f>
        <x:v>0.0000041180583139066584</x:v>
      </x:c>
      <x:c r="J68" s="52" t="n">
        <x:f>H68/SUM($H$5:$H$70)</x:f>
        <x:v>1.4872072200248836e-8</x:v>
      </x:c>
      <x:c r="K68" s="52" t="n">
        <x:f>SUM($J$5:J68)</x:f>
        <x:v>0.9999999989982605</x:v>
      </x:c>
      <x:c r="L68" s="49" t="n">
        <x:f>G68/1099511627776</x:f>
        <x:v>0.00002016705366258975</x:v>
      </x:c>
      <x:c r="M68" s="46" t="n">
        <x:v>3581.64</x:v>
      </x:c>
      <x:c r="N68" s="46" t="n">
        <x:v>731.36</x:v>
      </x:c>
      <x:c r="O68" s="46" t="n">
        <x:v>4.9</x:v>
      </x:c>
      <x:c r="P68" s="34" t="str">
        <x:v>4.32 MiB</x:v>
      </x:c>
    </x:row>
    <x:row r="69">
      <x:c r="A69" s="37" t="n">
        <x:f>ROW()-4</x:f>
        <x:v>65</x:v>
      </x:c>
      <x:c r="B69" s="34" t="str">
        <x:v>weak_log_local_old</x:v>
      </x:c>
      <x:c r="C69" s="37" t="str">
        <x:f>IF(I69*1024&gt;='汇总'!$B$14,"超大表",IF(I69*1024&gt;='汇总'!$B$15,"大表",IF(I69*1024&gt;='汇总'!$B$16,"中表","小表")))</x:f>
        <x:v>小表</x:v>
      </x:c>
      <x:c r="D69" s="37" t="str">
        <x:f>IF(E69&gt;='汇总'!$H$14,"超高行数",IF(E69&gt;='汇总'!$H$15,"高行数",IF(E69&gt;='汇总'!$H$16,"中行数","低行数")))</x:f>
        <x:v>低行数</x:v>
      </x:c>
      <x:c r="E69" s="43" t="n">
        <x:v>492</x:v>
      </x:c>
      <x:c r="F69" s="46" t="n">
        <x:f>E69/100000000</x:f>
        <x:v>0.00000492</x:v>
      </x:c>
      <x:c r="G69" s="43" t="n">
        <x:v>437633</x:v>
      </x:c>
      <x:c r="H69" s="43" t="n">
        <x:v>287724</x:v>
      </x:c>
      <x:c r="I69" s="49" t="n">
        <x:f>H69/1099511627776</x:f>
        <x:v>2.61683453572914e-7</x:v>
      </x:c>
      <x:c r="J69" s="52" t="n">
        <x:f>H69/SUM($H$5:$H$70)</x:f>
        <x:v>9.450510212554153e-10</x:v>
      </x:c>
      <x:c r="K69" s="52" t="n">
        <x:f>SUM($J$5:J69)</x:f>
        <x:v>0.9999999999433116</x:v>
      </x:c>
      <x:c r="L69" s="49" t="n">
        <x:f>G69/1099511627776</x:f>
        <x:v>3.980248948209919e-7</x:v>
      </x:c>
      <x:c r="M69" s="46" t="n">
        <x:v>889.5</x:v>
      </x:c>
      <x:c r="N69" s="46" t="n">
        <x:v>584.8</x:v>
      </x:c>
      <x:c r="O69" s="46" t="n">
        <x:v>1.52</x:v>
      </x:c>
      <x:c r="P69" s="34" t="str">
        <x:v>280.98 KiB</x:v>
      </x:c>
    </x:row>
    <x:row r="70">
      <x:c r="A70" s="38" t="n">
        <x:f>ROW()-4</x:f>
        <x:v>66</x:v>
      </x:c>
      <x:c r="B70" s="35" t="str">
        <x:v>data_auth_ck_local</x:v>
      </x:c>
      <x:c r="C70" s="38" t="str">
        <x:f>IF(I70*1024&gt;='汇总'!$B$14,"超大表",IF(I70*1024&gt;='汇总'!$B$15,"大表",IF(I70*1024&gt;='汇总'!$B$16,"中表","小表")))</x:f>
        <x:v>小表</x:v>
      </x:c>
      <x:c r="D70" s="38" t="str">
        <x:f>IF(E70&gt;='汇总'!$H$14,"超高行数",IF(E70&gt;='汇总'!$H$15,"高行数",IF(E70&gt;='汇总'!$H$16,"中行数","低行数")))</x:f>
        <x:v>低行数</x:v>
      </x:c>
      <x:c r="E70" s="44" t="n">
        <x:v>186</x:v>
      </x:c>
      <x:c r="F70" s="47" t="n">
        <x:f>E70/100000000</x:f>
        <x:v>0.00000186</x:v>
      </x:c>
      <x:c r="G70" s="44" t="n">
        <x:v>24092</x:v>
      </x:c>
      <x:c r="H70" s="44" t="n">
        <x:v>17259</x:v>
      </x:c>
      <x:c r="I70" s="50" t="n">
        <x:f>H70/1099511627776</x:f>
        <x:v>1.569696905789897e-8</x:v>
      </x:c>
      <x:c r="J70" s="53" t="n">
        <x:f>H70/SUM($H$5:$H$70)</x:f>
        <x:v>5.668847776288114e-11</x:v>
      </x:c>
      <x:c r="K70" s="53" t="n">
        <x:f>SUM($J$5:J70)</x:f>
        <x:v>1</x:v>
      </x:c>
      <x:c r="L70" s="50" t="n">
        <x:f>G70/1099511627776</x:f>
        <x:v>2.1911546355113387e-8</x:v>
      </x:c>
      <x:c r="M70" s="47" t="n">
        <x:v>129.53</x:v>
      </x:c>
      <x:c r="N70" s="47" t="n">
        <x:v>92.79</x:v>
      </x:c>
      <x:c r="O70" s="47" t="n">
        <x:v>1.4</x:v>
      </x:c>
      <x:c r="P70" s="35" t="str">
        <x:v>16.85 KiB</x:v>
      </x:c>
    </x:row>
  </x:sheetData>
  <x:mergeCells>
    <x:mergeCell ref="A1:P1"/>
    <x:mergeCell ref="A2:P2"/>
  </x:mergeCells>
  <x:conditionalFormatting sqref="C5:C70">
    <x:cfRule type="containsText" dxfId="0" priority="1" operator="containsText" text="大表"/>
    <x:cfRule type="containsText" dxfId="1" priority="2" operator="containsText" text="超大表"/>
    <x:cfRule type="containsText" dxfId="2" priority="3" operator="containsText" text="中表"/>
    <x:cfRule type="containsText" dxfId="3" priority="4" operator="containsText" text="小表"/>
  </x:conditionalFormatting>
  <x:conditionalFormatting sqref="J5:J70">
    <x:cfRule type="dataBar" priority="5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{D2B99C9D-C3E2-5798-ABD0-7BB01427957B}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b7601d6dc9f44a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D2B99C9D-C3E2-5798-ABD0-7BB01427957B}">
            <x14:dataBar gradient="1">
              <x14:cfvo type="min"/>
              <x14:cfvo type="max"/>
              <x14:fillColor rgb="FF2F75B5"/>
            </x14:dataBar>
          </x14:cfRule>
          <xm:sqref>J5:J70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35" hidden="0" customWidth="1"/>
    <x:col min="4" max="4" width="16" hidden="0" customWidth="1"/>
    <x:col min="5" max="5" width="17" hidden="0" customWidth="1"/>
    <x:col min="6" max="6" width="13" hidden="0" customWidth="1"/>
    <x:col min="7" max="7" width="11" hidden="0" customWidth="1"/>
    <x:col min="8" max="8" width="3" hidden="0" customWidth="1"/>
    <x:col min="9" max="9" width="11" hidden="0" customWidth="1"/>
    <x:col min="10" max="10" width="10" hidden="0" customWidth="1"/>
    <x:col min="11" max="11" width="35" hidden="0" customWidth="1"/>
    <x:col min="12" max="12" width="16" hidden="0" customWidth="1"/>
    <x:col min="13" max="13" width="17" hidden="0" customWidth="1"/>
    <x:col min="14" max="14" width="13" hidden="0" customWidth="1"/>
    <x:col min="15" max="15" width="11" hidden="0" customWidth="1"/>
  </x:cols>
  <x:sheetData>
    <x:row r="1" ht="34" customHeight="1">
      <x:c r="A1" s="9" t="str">
        <x:v>大表清单（≥100 GiB，共 22 张）</x:v>
      </x:c>
      <x:c r="B1" s="10"/>
      <x:c r="C1" s="10"/>
      <x:c r="D1" s="10"/>
      <x:c r="E1" s="10"/>
      <x:c r="F1" s="10"/>
      <x:c r="G1" s="11"/>
      <x:c r="I1" s="9" t="str">
        <x:v>小表清单（&lt;10 GiB，共 32 张）</x:v>
      </x:c>
      <x:c r="J1" s="10"/>
      <x:c r="K1" s="10"/>
      <x:c r="L1" s="10"/>
      <x:c r="M1" s="10"/>
      <x:c r="N1" s="10"/>
      <x:c r="O1" s="11"/>
    </x:row>
    <x:row r="2">
      <x:c r="A2" s="259" t="str">
        <x:v>包含“超大表”和“大表”，按磁盘容量降序；容量为双副本口径。</x:v>
      </x:c>
      <x:c r="B2" s="259"/>
      <x:c r="C2" s="259"/>
      <x:c r="D2" s="259"/>
      <x:c r="E2" s="259"/>
      <x:c r="F2" s="259"/>
      <x:c r="G2" s="259"/>
      <x:c r="I2" s="261" t="str">
        <x:v>小表合计 0.052 TiB，仅占 0.019%。</x:v>
      </x:c>
      <x:c r="J2" s="261"/>
      <x:c r="K2" s="261"/>
      <x:c r="L2" s="261"/>
      <x:c r="M2" s="261"/>
      <x:c r="N2" s="261"/>
      <x:c r="O2" s="261"/>
    </x:row>
    <x:row r="4">
      <x:c r="A4" s="207" t="str">
        <x:v>容量级别</x:v>
      </x:c>
      <x:c r="B4" s="207" t="str">
        <x:v>容量排名</x:v>
      </x:c>
      <x:c r="C4" s="207" t="str">
        <x:v>表名</x:v>
      </x:c>
      <x:c r="D4" s="207" t="str">
        <x:v>总行数</x:v>
      </x:c>
      <x:c r="E4" s="207" t="str">
        <x:v>磁盘容量（TiB）</x:v>
      </x:c>
      <x:c r="F4" s="207" t="str">
        <x:v>容量占比</x:v>
      </x:c>
      <x:c r="G4" s="207" t="str">
        <x:v>压缩比</x:v>
      </x:c>
      <x:c r="I4" s="207" t="str">
        <x:v>容量级别</x:v>
      </x:c>
      <x:c r="J4" s="207" t="str">
        <x:v>容量排名</x:v>
      </x:c>
      <x:c r="K4" s="207" t="str">
        <x:v>表名</x:v>
      </x:c>
      <x:c r="L4" s="207" t="str">
        <x:v>总行数</x:v>
      </x:c>
      <x:c r="M4" s="207" t="str">
        <x:v>磁盘容量（TiB）</x:v>
      </x:c>
      <x:c r="N4" s="207" t="str">
        <x:v>容量占比</x:v>
      </x:c>
      <x:c r="O4" s="207" t="str">
        <x:v>压缩比</x:v>
      </x:c>
    </x:row>
    <x:row r="5">
      <x:c r="A5" s="235" t="str">
        <x:f>'明细'!C5</x:f>
        <x:v>超大表</x:v>
      </x:c>
      <x:c r="B5" s="238" t="n">
        <x:f>'明细'!A5</x:f>
        <x:v>1</x:v>
      </x:c>
      <x:c r="C5" s="235" t="str">
        <x:f>'明细'!B5</x:f>
        <x:v>network_security_log_local</x:v>
      </x:c>
      <x:c r="D5" s="262" t="n">
        <x:f>'明细'!E5</x:f>
        <x:v>497887456508</x:v>
      </x:c>
      <x:c r="E5" s="265" t="n">
        <x:f>'明细'!I5</x:f>
        <x:v>134.1488045664246</x:v>
      </x:c>
      <x:c r="F5" s="268" t="n">
        <x:f>'明细'!J5</x:f>
        <x:v>0.4844687848036526</x:v>
      </x:c>
      <x:c r="G5" s="247" t="n">
        <x:f>'明细'!O5</x:f>
        <x:v>14.09</x:v>
      </x:c>
      <x:c r="I5" s="235" t="str">
        <x:f>'明细'!C39</x:f>
        <x:v>小表</x:v>
      </x:c>
      <x:c r="J5" s="238" t="n">
        <x:f>'明细'!A39</x:f>
        <x:v>35</x:v>
      </x:c>
      <x:c r="K5" s="235" t="str">
        <x:f>'明细'!B39</x:f>
        <x:v>ti_network_security_log_local</x:v>
      </x:c>
      <x:c r="L5" s="262" t="n">
        <x:f>'明细'!E39</x:f>
        <x:v>785052456</x:v>
      </x:c>
      <x:c r="M5" s="265" t="n">
        <x:f>'明细'!I39</x:f>
        <x:v>0.008589223625676823</x:v>
      </x:c>
      <x:c r="N5" s="268" t="n">
        <x:f>'明细'!J39</x:f>
        <x:v>0.000031019364993879056</x:v>
      </x:c>
      <x:c r="O5" s="247" t="n">
        <x:f>'明细'!O39</x:f>
        <x:v>2.6</x:v>
      </x:c>
    </x:row>
    <x:row r="6">
      <x:c r="A6" s="236" t="str">
        <x:f>'明细'!C6</x:f>
        <x:v>超大表</x:v>
      </x:c>
      <x:c r="B6" s="239" t="n">
        <x:f>'明细'!A6</x:f>
        <x:v>2</x:v>
      </x:c>
      <x:c r="C6" s="236" t="str">
        <x:f>'明细'!B6</x:f>
        <x:v>http_log_local</x:v>
      </x:c>
      <x:c r="D6" s="263" t="n">
        <x:f>'明细'!E6</x:f>
        <x:v>340709228401</x:v>
      </x:c>
      <x:c r="E6" s="266" t="n">
        <x:f>'明细'!I6</x:f>
        <x:v>69.10186209280346</x:v>
      </x:c>
      <x:c r="F6" s="269" t="n">
        <x:f>'明细'!J6</x:f>
        <x:v>0.2495564180685143</x:v>
      </x:c>
      <x:c r="G6" s="248" t="n">
        <x:f>'明细'!O6</x:f>
        <x:v>10.33</x:v>
      </x:c>
      <x:c r="I6" s="236" t="str">
        <x:f>'明细'!C40</x:f>
        <x:v>小表</x:v>
      </x:c>
      <x:c r="J6" s="239" t="n">
        <x:f>'明细'!A40</x:f>
        <x:v>36</x:v>
      </x:c>
      <x:c r="K6" s="236" t="str">
        <x:f>'明细'!B40</x:f>
        <x:v>ssh_log_local</x:v>
      </x:c>
      <x:c r="L6" s="263" t="n">
        <x:f>'明细'!E40</x:f>
        <x:v>94429883</x:v>
      </x:c>
      <x:c r="M6" s="266" t="n">
        <x:f>'明细'!I40</x:f>
        <x:v>0.007329059715630137</x:v>
      </x:c>
      <x:c r="N6" s="269" t="n">
        <x:f>'明细'!J40</x:f>
        <x:v>0.000026468373428006102</x:v>
      </x:c>
      <x:c r="O6" s="248" t="n">
        <x:f>'明细'!O40</x:f>
        <x:v>15.96</x:v>
      </x:c>
    </x:row>
    <x:row r="7">
      <x:c r="A7" s="236" t="str">
        <x:f>'明细'!C7</x:f>
        <x:v>超大表</x:v>
      </x:c>
      <x:c r="B7" s="239" t="n">
        <x:f>'明细'!A7</x:f>
        <x:v>3</x:v>
      </x:c>
      <x:c r="C7" s="236" t="str">
        <x:f>'明细'!B7</x:f>
        <x:v>ssl_tls_log_local</x:v>
      </x:c>
      <x:c r="D7" s="263" t="n">
        <x:f>'明细'!E7</x:f>
        <x:v>50235819182</x:v>
      </x:c>
      <x:c r="E7" s="266" t="n">
        <x:f>'明细'!I7</x:f>
        <x:v>22.03879312657864</x:v>
      </x:c>
      <x:c r="F7" s="269" t="n">
        <x:f>'明细'!J7</x:f>
        <x:v>0.0795915204692399</x:v>
      </x:c>
      <x:c r="G7" s="248" t="n">
        <x:f>'明细'!O7</x:f>
        <x:v>8.51</x:v>
      </x:c>
      <x:c r="I7" s="236" t="str">
        <x:f>'明细'!C41</x:f>
        <x:v>小表</x:v>
      </x:c>
      <x:c r="J7" s="239" t="n">
        <x:f>'明细'!A41</x:f>
        <x:v>37</x:v>
      </x:c>
      <x:c r="K7" s="236" t="str">
        <x:f>'明细'!B41</x:f>
        <x:v>vpn_log_local</x:v>
      </x:c>
      <x:c r="L7" s="263" t="n">
        <x:f>'明细'!E41</x:f>
        <x:v>109200543</x:v>
      </x:c>
      <x:c r="M7" s="266" t="n">
        <x:f>'明细'!I41</x:f>
        <x:v>0.006611709668504773</x:v>
      </x:c>
      <x:c r="N7" s="269" t="n">
        <x:f>'明细'!J41</x:f>
        <x:v>0.000023877715190439886</x:v>
      </x:c>
      <x:c r="O7" s="248" t="n">
        <x:f>'明细'!O41</x:f>
        <x:v>21.2</x:v>
      </x:c>
    </x:row>
    <x:row r="8">
      <x:c r="A8" s="236" t="str">
        <x:f>'明细'!C8</x:f>
        <x:v>超大表</x:v>
      </x:c>
      <x:c r="B8" s="239" t="n">
        <x:f>'明细'!A8</x:f>
        <x:v>4</x:v>
      </x:c>
      <x:c r="C8" s="236" t="str">
        <x:f>'明细'!B8</x:f>
        <x:v>tcp_log_local</x:v>
      </x:c>
      <x:c r="D8" s="263" t="n">
        <x:f>'明细'!E8</x:f>
        <x:v>327998137977</x:v>
      </x:c>
      <x:c r="E8" s="266" t="n">
        <x:f>'明细'!I8</x:f>
        <x:v>15.954821199052276</x:v>
      </x:c>
      <x:c r="F8" s="269" t="n">
        <x:f>'明细'!J8</x:f>
        <x:v>0.05761969227416445</x:v>
      </x:c>
      <x:c r="G8" s="248" t="n">
        <x:f>'明细'!O8</x:f>
        <x:v>13.62</x:v>
      </x:c>
      <x:c r="I8" s="236" t="str">
        <x:f>'明细'!C42</x:f>
        <x:v>小表</x:v>
      </x:c>
      <x:c r="J8" s="239" t="n">
        <x:f>'明细'!A42</x:f>
        <x:v>38</x:v>
      </x:c>
      <x:c r="K8" s="236" t="str">
        <x:f>'明细'!B42</x:f>
        <x:v>weak_log_local</x:v>
      </x:c>
      <x:c r="L8" s="263" t="n">
        <x:f>'明细'!E42</x:f>
        <x:v>14614659</x:v>
      </x:c>
      <x:c r="M8" s="266" t="n">
        <x:f>'明细'!I42</x:f>
        <x:v>0.005613843327409995</x:v>
      </x:c>
      <x:c r="N8" s="269" t="n">
        <x:f>'明细'!J42</x:f>
        <x:v>0.000020273992479461286</x:v>
      </x:c>
      <x:c r="O8" s="248" t="n">
        <x:f>'明细'!O42</x:f>
        <x:v>6.63</x:v>
      </x:c>
    </x:row>
    <x:row r="9">
      <x:c r="A9" s="236" t="str">
        <x:f>'明细'!C9</x:f>
        <x:v>超大表</x:v>
      </x:c>
      <x:c r="B9" s="239" t="n">
        <x:f>'明细'!A9</x:f>
        <x:v>5</x:v>
      </x:c>
      <x:c r="C9" s="236" t="str">
        <x:f>'明细'!B9</x:f>
        <x:v>dns_log_local</x:v>
      </x:c>
      <x:c r="D9" s="263" t="n">
        <x:f>'明细'!E9</x:f>
        <x:v>563974083265</x:v>
      </x:c>
      <x:c r="E9" s="266" t="n">
        <x:f>'明细'!I9</x:f>
        <x:v>15.264436280157497</x:v>
      </x:c>
      <x:c r="F9" s="269" t="n">
        <x:f>'明细'!J9</x:f>
        <x:v>0.0551264166629151</x:v>
      </x:c>
      <x:c r="G9" s="248" t="n">
        <x:f>'明细'!O9</x:f>
        <x:v>22.76</x:v>
      </x:c>
      <x:c r="I9" s="236" t="str">
        <x:f>'明细'!C43</x:f>
        <x:v>小表</x:v>
      </x:c>
      <x:c r="J9" s="239" t="n">
        <x:f>'明细'!A43</x:f>
        <x:v>39</x:v>
      </x:c>
      <x:c r="K9" s="236" t="str">
        <x:f>'明细'!B43</x:f>
        <x:v>pgsql_login_log_local</x:v>
      </x:c>
      <x:c r="L9" s="263" t="n">
        <x:f>'明细'!E43</x:f>
        <x:v>39632089</x:v>
      </x:c>
      <x:c r="M9" s="266" t="n">
        <x:f>'明细'!I43</x:f>
        <x:v>0.004448849261279975</x:v>
      </x:c>
      <x:c r="N9" s="269" t="n">
        <x:f>'明细'!J43</x:f>
        <x:v>0.00001606669997808078</x:v>
      </x:c>
      <x:c r="O9" s="248" t="n">
        <x:f>'明细'!O43</x:f>
        <x:v>10.29</x:v>
      </x:c>
    </x:row>
    <x:row r="10">
      <x:c r="A10" s="236" t="str">
        <x:f>'明细'!C10</x:f>
        <x:v>超大表</x:v>
      </x:c>
      <x:c r="B10" s="239" t="n">
        <x:f>'明细'!A10</x:f>
        <x:v>6</x:v>
      </x:c>
      <x:c r="C10" s="236" t="str">
        <x:f>'明细'!B10</x:f>
        <x:v>acl_log_local</x:v>
      </x:c>
      <x:c r="D10" s="263" t="n">
        <x:f>'明细'!E10</x:f>
        <x:v>91138370194</x:v>
      </x:c>
      <x:c r="E10" s="266" t="n">
        <x:f>'明细'!I10</x:f>
        <x:v>6.251083732563529</x:v>
      </x:c>
      <x:c r="F10" s="269" t="n">
        <x:f>'明细'!J10</x:f>
        <x:v>0.022575340491546282</x:v>
      </x:c>
      <x:c r="G10" s="248" t="n">
        <x:f>'明细'!O10</x:f>
        <x:v>16.09</x:v>
      </x:c>
      <x:c r="I10" s="236" t="str">
        <x:f>'明细'!C44</x:f>
        <x:v>小表</x:v>
      </x:c>
      <x:c r="J10" s="239" t="n">
        <x:f>'明细'!A44</x:f>
        <x:v>40</x:v>
      </x:c>
      <x:c r="K10" s="236" t="str">
        <x:f>'明细'!B44</x:f>
        <x:v>count_log_local</x:v>
      </x:c>
      <x:c r="L10" s="263" t="n">
        <x:f>'明细'!E44</x:f>
        <x:v>1385808146</x:v>
      </x:c>
      <x:c r="M10" s="266" t="n">
        <x:f>'明细'!I44</x:f>
        <x:v>0.004040555769279308</x:v>
      </x:c>
      <x:c r="N10" s="269" t="n">
        <x:f>'明细'!J44</x:f>
        <x:v>0.000014592177319812452</x:v>
      </x:c>
      <x:c r="O10" s="248" t="n">
        <x:f>'明细'!O44</x:f>
        <x:v>8.09</x:v>
      </x:c>
    </x:row>
    <x:row r="11">
      <x:c r="A11" s="236" t="str">
        <x:f>'明细'!C11</x:f>
        <x:v>超大表</x:v>
      </x:c>
      <x:c r="B11" s="239" t="n">
        <x:f>'明细'!A11</x:f>
        <x:v>7</x:v>
      </x:c>
      <x:c r="C11" s="236" t="str">
        <x:f>'明细'!B11</x:f>
        <x:v>smb_log_local</x:v>
      </x:c>
      <x:c r="D11" s="263" t="n">
        <x:f>'明细'!E11</x:f>
        <x:v>123228674861</x:v>
      </x:c>
      <x:c r="E11" s="266" t="n">
        <x:f>'明细'!I11</x:f>
        <x:v>2.3134246790259567</x:v>
      </x:c>
      <x:c r="F11" s="269" t="n">
        <x:f>'明细'!J11</x:f>
        <x:v>0.008354767279551293</x:v>
      </x:c>
      <x:c r="G11" s="248" t="n">
        <x:f>'明细'!O11</x:f>
        <x:v>34.35</x:v>
      </x:c>
      <x:c r="I11" s="236" t="str">
        <x:f>'明细'!C45</x:f>
        <x:v>小表</x:v>
      </x:c>
      <x:c r="J11" s="239" t="n">
        <x:f>'明细'!A45</x:f>
        <x:v>41</x:v>
      </x:c>
      <x:c r="K11" s="236" t="str">
        <x:f>'明细'!B45</x:f>
        <x:v>datalake_report_log_local</x:v>
      </x:c>
      <x:c r="L11" s="263" t="n">
        <x:f>'明细'!E45</x:f>
        <x:v>83588079</x:v>
      </x:c>
      <x:c r="M11" s="266" t="n">
        <x:f>'明细'!I45</x:f>
        <x:v>0.002715493578762107</x:v>
      </x:c>
      <x:c r="N11" s="269" t="n">
        <x:f>'明细'!J45</x:f>
        <x:v>0.000009806810269364617</x:v>
      </x:c>
      <x:c r="O11" s="248" t="n">
        <x:f>'明细'!O45</x:f>
        <x:v>3.93</x:v>
      </x:c>
    </x:row>
    <x:row r="12">
      <x:c r="A12" s="236" t="str">
        <x:f>'明细'!C12</x:f>
        <x:v>超大表</x:v>
      </x:c>
      <x:c r="B12" s="239" t="n">
        <x:f>'明细'!A12</x:f>
        <x:v>8</x:v>
      </x:c>
      <x:c r="C12" s="236" t="str">
        <x:f>'明细'!B12</x:f>
        <x:v>parse_status_log_local</x:v>
      </x:c>
      <x:c r="D12" s="263" t="n">
        <x:f>'明细'!E12</x:f>
        <x:v>41302052290</x:v>
      </x:c>
      <x:c r="E12" s="266" t="n">
        <x:f>'明细'!I12</x:f>
        <x:v>2.032007328241889</x:v>
      </x:c>
      <x:c r="F12" s="269" t="n">
        <x:f>'明细'!J12</x:f>
        <x:v>0.007338448704088237</x:v>
      </x:c>
      <x:c r="G12" s="248" t="n">
        <x:f>'明细'!O12</x:f>
        <x:v>23.94</x:v>
      </x:c>
      <x:c r="I12" s="236" t="str">
        <x:f>'明细'!C46</x:f>
        <x:v>小表</x:v>
      </x:c>
      <x:c r="J12" s="239" t="n">
        <x:f>'明细'!A46</x:f>
        <x:v>42</x:v>
      </x:c>
      <x:c r="K12" s="236" t="str">
        <x:f>'明细'!B46</x:f>
        <x:v>datalake_platform_log_local</x:v>
      </x:c>
      <x:c r="L12" s="263" t="n">
        <x:f>'明细'!E46</x:f>
        <x:v>14710947</x:v>
      </x:c>
      <x:c r="M12" s="266" t="n">
        <x:f>'明细'!I46</x:f>
        <x:v>0.002602846137051529</x:v>
      </x:c>
      <x:c r="N12" s="269" t="n">
        <x:f>'明细'!J46</x:f>
        <x:v>0.000009399992114158907</x:v>
      </x:c>
      <x:c r="O12" s="248" t="n">
        <x:f>'明细'!O46</x:f>
        <x:v>30.26</x:v>
      </x:c>
    </x:row>
    <x:row r="13">
      <x:c r="A13" s="236" t="str">
        <x:f>'明细'!C13</x:f>
        <x:v>超大表</x:v>
      </x:c>
      <x:c r="B13" s="239" t="n">
        <x:f>'明细'!A13</x:f>
        <x:v>9</x:v>
      </x:c>
      <x:c r="C13" s="236" t="str">
        <x:f>'明细'!B13</x:f>
        <x:v>endpoint_security_log_local</x:v>
      </x:c>
      <x:c r="D13" s="263" t="n">
        <x:f>'明细'!E13</x:f>
        <x:v>5906172668</x:v>
      </x:c>
      <x:c r="E13" s="266" t="n">
        <x:f>'明细'!I13</x:f>
        <x:v>2.01184719923549</x:v>
      </x:c>
      <x:c r="F13" s="269" t="n">
        <x:f>'明细'!J13</x:f>
        <x:v>0.007265641844326928</x:v>
      </x:c>
      <x:c r="G13" s="248" t="n">
        <x:f>'明细'!O13</x:f>
        <x:v>19.04</x:v>
      </x:c>
      <x:c r="I13" s="236" t="str">
        <x:f>'明细'!C47</x:f>
        <x:v>小表</x:v>
      </x:c>
      <x:c r="J13" s="239" t="n">
        <x:f>'明细'!A47</x:f>
        <x:v>43</x:v>
      </x:c>
      <x:c r="K13" s="236" t="str">
        <x:f>'明细'!B47</x:f>
        <x:v>ftp_login_log_local</x:v>
      </x:c>
      <x:c r="L13" s="263" t="n">
        <x:f>'明细'!E47</x:f>
        <x:v>103455499</x:v>
      </x:c>
      <x:c r="M13" s="266" t="n">
        <x:f>'明细'!I47</x:f>
        <x:v>0.0018998791283593164</x:v>
      </x:c>
      <x:c r="N13" s="269" t="n">
        <x:f>'明细'!J47</x:f>
        <x:v>0.000006861277188156404</x:v>
      </x:c>
      <x:c r="O13" s="248" t="n">
        <x:f>'明细'!O47</x:f>
        <x:v>33.71</x:v>
      </x:c>
    </x:row>
    <x:row r="14">
      <x:c r="A14" s="236" t="str">
        <x:f>'明细'!C14</x:f>
        <x:v>超大表</x:v>
      </x:c>
      <x:c r="B14" s="239" t="n">
        <x:f>'明细'!A14</x:f>
        <x:v>10</x:v>
      </x:c>
      <x:c r="C14" s="236" t="str">
        <x:f>'明细'!B14</x:f>
        <x:v>icmp_log_local</x:v>
      </x:c>
      <x:c r="D14" s="263" t="n">
        <x:f>'明细'!E14</x:f>
        <x:v>94081030042</x:v>
      </x:c>
      <x:c r="E14" s="266" t="n">
        <x:f>'明细'!I14</x:f>
        <x:v>1.9293353755119824</x:v>
      </x:c>
      <x:c r="F14" s="269" t="n">
        <x:f>'明细'!J14</x:f>
        <x:v>0.0069676563117650825</x:v>
      </x:c>
      <x:c r="G14" s="248" t="n">
        <x:f>'明细'!O14</x:f>
        <x:v>40.15</x:v>
      </x:c>
      <x:c r="I14" s="236" t="str">
        <x:f>'明细'!C48</x:f>
        <x:v>小表</x:v>
      </x:c>
      <x:c r="J14" s="239" t="n">
        <x:f>'明细'!A48</x:f>
        <x:v>44</x:v>
      </x:c>
      <x:c r="K14" s="236" t="str">
        <x:f>'明细'!B48</x:f>
        <x:v>file_log_local</x:v>
      </x:c>
      <x:c r="L14" s="263" t="n">
        <x:f>'明细'!E48</x:f>
        <x:v>314012</x:v>
      </x:c>
      <x:c r="M14" s="266" t="n">
        <x:f>'明细'!I48</x:f>
        <x:v>0.001590766334629734</x:v>
      </x:c>
      <x:c r="N14" s="269" t="n">
        <x:f>'明细'!J48</x:f>
        <x:v>0.000005744938507171137</x:v>
      </x:c>
      <x:c r="O14" s="248" t="n">
        <x:f>'明细'!O48</x:f>
        <x:v>2.99</x:v>
      </x:c>
    </x:row>
    <x:row r="15">
      <x:c r="A15" s="236" t="str">
        <x:f>'明细'!C15</x:f>
        <x:v>超大表</x:v>
      </x:c>
      <x:c r="B15" s="239" t="n">
        <x:f>'明细'!A15</x:f>
        <x:v>11</x:v>
      </x:c>
      <x:c r="C15" s="236" t="str">
        <x:f>'明细'!B15</x:f>
        <x:v>asset_log_local</x:v>
      </x:c>
      <x:c r="D15" s="263" t="n">
        <x:f>'明细'!E15</x:f>
        <x:v>5958425610</x:v>
      </x:c>
      <x:c r="E15" s="266" t="n">
        <x:f>'明细'!I15</x:f>
        <x:v>1.7799797427778685</x:v>
      </x:c>
      <x:c r="F15" s="269" t="n">
        <x:f>'明细'!J15</x:f>
        <x:v>0.006428269157864295</x:v>
      </x:c>
      <x:c r="G15" s="248" t="n">
        <x:f>'明细'!O15</x:f>
        <x:v>18.18</x:v>
      </x:c>
      <x:c r="I15" s="236" t="str">
        <x:f>'明细'!C49</x:f>
        <x:v>小表</x:v>
      </x:c>
      <x:c r="J15" s="239" t="n">
        <x:f>'明细'!A49</x:f>
        <x:v>45</x:v>
      </x:c>
      <x:c r="K15" s="236" t="str">
        <x:f>'明细'!B49</x:f>
        <x:v>check_data_device_health_log_local</x:v>
      </x:c>
      <x:c r="L15" s="263" t="n">
        <x:f>'明细'!E49</x:f>
        <x:v>8220615</x:v>
      </x:c>
      <x:c r="M15" s="266" t="n">
        <x:f>'明细'!I49</x:f>
        <x:v>0.001389936685882276</x:v>
      </x:c>
      <x:c r="N15" s="269" t="n">
        <x:f>'明细'!J49</x:f>
        <x:v>0.000005019656636820597</x:v>
      </x:c>
      <x:c r="O15" s="248" t="n">
        <x:f>'明细'!O49</x:f>
        <x:v>13.49</x:v>
      </x:c>
    </x:row>
    <x:row r="16">
      <x:c r="A16" s="236" t="str">
        <x:f>'明细'!C16</x:f>
        <x:v>超大表</x:v>
      </x:c>
      <x:c r="B16" s="239" t="n">
        <x:f>'明细'!A16</x:f>
        <x:v>12</x:v>
      </x:c>
      <x:c r="C16" s="236" t="str">
        <x:f>'明细'!B16</x:f>
        <x:v>snmp_log_local</x:v>
      </x:c>
      <x:c r="D16" s="263" t="n">
        <x:f>'明细'!E16</x:f>
        <x:v>20469188272</x:v>
      </x:c>
      <x:c r="E16" s="266" t="n">
        <x:f>'明细'!I16</x:f>
        <x:v>1.002233137897747</x:v>
      </x:c>
      <x:c r="F16" s="269" t="n">
        <x:f>'明细'!J16</x:f>
        <x:v>0.003619493084389356</x:v>
      </x:c>
      <x:c r="G16" s="248" t="n">
        <x:f>'明细'!O16</x:f>
        <x:v>19.18</x:v>
      </x:c>
      <x:c r="I16" s="236" t="str">
        <x:f>'明细'!C50</x:f>
        <x:v>小表</x:v>
      </x:c>
      <x:c r="J16" s="239" t="n">
        <x:f>'明细'!A50</x:f>
        <x:v>46</x:v>
      </x:c>
      <x:c r="K16" s="236" t="str">
        <x:f>'明细'!B50</x:f>
        <x:v>xdr_net_ops_local</x:v>
      </x:c>
      <x:c r="L16" s="263" t="n">
        <x:f>'明细'!E50</x:f>
        <x:v>75249182</x:v>
      </x:c>
      <x:c r="M16" s="266" t="n">
        <x:f>'明细'!I50</x:f>
        <x:v>0.0012659194126172224</x:v>
      </x:c>
      <x:c r="N16" s="269" t="n">
        <x:f>'明细'!J50</x:f>
        <x:v>0.000004571777150547331</x:v>
      </x:c>
      <x:c r="O16" s="248" t="n">
        <x:f>'明细'!O50</x:f>
        <x:v>10.67</x:v>
      </x:c>
    </x:row>
    <x:row r="17">
      <x:c r="A17" s="236" t="str">
        <x:f>'明细'!C17</x:f>
        <x:v>大表</x:v>
      </x:c>
      <x:c r="B17" s="239" t="n">
        <x:f>'明细'!A17</x:f>
        <x:v>13</x:v>
      </x:c>
      <x:c r="C17" s="236" t="str">
        <x:f>'明细'!B17</x:f>
        <x:v>http_login_log_local</x:v>
      </x:c>
      <x:c r="D17" s="263" t="n">
        <x:f>'明细'!E17</x:f>
        <x:v>3300822497</x:v>
      </x:c>
      <x:c r="E17" s="266" t="n">
        <x:f>'明细'!I17</x:f>
        <x:v>0.4706718734578317</x:v>
      </x:c>
      <x:c r="F17" s="269" t="n">
        <x:f>'明细'!J17</x:f>
        <x:v>0.0016997977083162592</x:v>
      </x:c>
      <x:c r="G17" s="248" t="n">
        <x:f>'明细'!O17</x:f>
        <x:v>22.47</x:v>
      </x:c>
      <x:c r="I17" s="236" t="str">
        <x:f>'明细'!C51</x:f>
        <x:v>小表</x:v>
      </x:c>
      <x:c r="J17" s="239" t="n">
        <x:f>'明细'!A51</x:f>
        <x:v>47</x:v>
      </x:c>
      <x:c r="K17" s="236" t="str">
        <x:f>'明细'!B51</x:f>
        <x:v>ldap_log_local</x:v>
      </x:c>
      <x:c r="L17" s="263" t="n">
        <x:f>'明细'!E51</x:f>
        <x:v>28202545</x:v>
      </x:c>
      <x:c r="M17" s="266" t="n">
        <x:f>'明细'!I51</x:f>
        <x:v>0.0007962826393850264</x:v>
      </x:c>
      <x:c r="N17" s="269" t="n">
        <x:f>'明细'!J51</x:f>
        <x:v>0.000002875717632445174</x:v>
      </x:c>
      <x:c r="O17" s="248" t="n">
        <x:f>'明细'!O51</x:f>
        <x:v>23.59</x:v>
      </x:c>
    </x:row>
    <x:row r="18">
      <x:c r="A18" s="236" t="str">
        <x:f>'明细'!C18</x:f>
        <x:v>大表</x:v>
      </x:c>
      <x:c r="B18" s="239" t="n">
        <x:f>'明细'!A18</x:f>
        <x:v>14</x:v>
      </x:c>
      <x:c r="C18" s="236" t="str">
        <x:f>'明细'!B18</x:f>
        <x:v>endpoint_behavior_log_local</x:v>
      </x:c>
      <x:c r="D18" s="263" t="n">
        <x:f>'明细'!E18</x:f>
        <x:v>5353875581</x:v>
      </x:c>
      <x:c r="E18" s="266" t="n">
        <x:f>'明细'!I18</x:f>
        <x:v>0.33629068630034453</x:v>
      </x:c>
      <x:c r="F18" s="269" t="n">
        <x:f>'明细'!J18</x:f>
        <x:v>0.0012144896904544705</x:v>
      </x:c>
      <x:c r="G18" s="248" t="n">
        <x:f>'明细'!O18</x:f>
        <x:v>41.77</x:v>
      </x:c>
      <x:c r="I18" s="236" t="str">
        <x:f>'明细'!C52</x:f>
        <x:v>小表</x:v>
      </x:c>
      <x:c r="J18" s="239" t="n">
        <x:f>'明细'!A52</x:f>
        <x:v>48</x:v>
      </x:c>
      <x:c r="K18" s="236" t="str">
        <x:f>'明细'!B52</x:f>
        <x:v>pop3_login_log_local</x:v>
      </x:c>
      <x:c r="L18" s="263" t="n">
        <x:f>'明细'!E52</x:f>
        <x:v>13432985</x:v>
      </x:c>
      <x:c r="M18" s="266" t="n">
        <x:f>'明细'!I52</x:f>
        <x:v>0.0006211802674442879</x:v>
      </x:c>
      <x:c r="N18" s="269" t="n">
        <x:f>'明细'!J52</x:f>
        <x:v>0.000002243347976788929</x:v>
      </x:c>
      <x:c r="O18" s="248" t="n">
        <x:f>'明细'!O52</x:f>
        <x:v>14.14</x:v>
      </x:c>
    </x:row>
    <x:row r="19">
      <x:c r="A19" s="236" t="str">
        <x:f>'明细'!C19</x:f>
        <x:v>大表</x:v>
      </x:c>
      <x:c r="B19" s="239" t="n">
        <x:f>'明细'!A19</x:f>
        <x:v>15</x:v>
      </x:c>
      <x:c r="C19" s="236" t="str">
        <x:f>'明细'!B19</x:f>
        <x:v>dhcp_log_local</x:v>
      </x:c>
      <x:c r="D19" s="263" t="n">
        <x:f>'明细'!E19</x:f>
        <x:v>8550861337</x:v>
      </x:c>
      <x:c r="E19" s="266" t="n">
        <x:f>'明细'!I19</x:f>
        <x:v>0.26999824358972546</x:v>
      </x:c>
      <x:c r="F19" s="269" t="n">
        <x:f>'明细'!J19</x:f>
        <x:v>0.0009750792889568064</x:v>
      </x:c>
      <x:c r="G19" s="248" t="n">
        <x:f>'明细'!O19</x:f>
        <x:v>21.64</x:v>
      </x:c>
      <x:c r="I19" s="236" t="str">
        <x:f>'明细'!C53</x:f>
        <x:v>小表</x:v>
      </x:c>
      <x:c r="J19" s="239" t="n">
        <x:f>'明细'!A53</x:f>
        <x:v>49</x:v>
      </x:c>
      <x:c r="K19" s="236" t="str">
        <x:f>'明细'!B53</x:f>
        <x:v>ztna_user_log_local</x:v>
      </x:c>
      <x:c r="L19" s="263" t="n">
        <x:f>'明细'!E53</x:f>
        <x:v>6254899</x:v>
      </x:c>
      <x:c r="M19" s="266" t="n">
        <x:f>'明细'!I53</x:f>
        <x:v>0.0006110950589572894</x:v>
      </x:c>
      <x:c r="N19" s="269" t="n">
        <x:f>'明细'!J53</x:f>
        <x:v>0.0000022069259697797778</x:v>
      </x:c>
      <x:c r="O19" s="248" t="n">
        <x:f>'明细'!O53</x:f>
        <x:v>14.81</x:v>
      </x:c>
    </x:row>
    <x:row r="20">
      <x:c r="A20" s="236" t="str">
        <x:f>'明细'!C20</x:f>
        <x:v>大表</x:v>
      </x:c>
      <x:c r="B20" s="239" t="n">
        <x:f>'明细'!A20</x:f>
        <x:v>16</x:v>
      </x:c>
      <x:c r="C20" s="236" t="str">
        <x:f>'明细'!B20</x:f>
        <x:v>sip_log_local</x:v>
      </x:c>
      <x:c r="D20" s="263" t="n">
        <x:f>'明细'!E20</x:f>
        <x:v>5148660905</x:v>
      </x:c>
      <x:c r="E20" s="266" t="n">
        <x:f>'明细'!I20</x:f>
        <x:v>0.2611887347547963</x:v>
      </x:c>
      <x:c r="F20" s="269" t="n">
        <x:f>'明细'!J20</x:f>
        <x:v>0.000943264379731418</x:v>
      </x:c>
      <x:c r="G20" s="248" t="n">
        <x:f>'明细'!O20</x:f>
        <x:v>18.55</x:v>
      </x:c>
      <x:c r="I20" s="236" t="str">
        <x:f>'明细'!C54</x:f>
        <x:v>小表</x:v>
      </x:c>
      <x:c r="J20" s="239" t="n">
        <x:f>'明细'!A54</x:f>
        <x:v>50</x:v>
      </x:c>
      <x:c r="K20" s="236" t="str">
        <x:f>'明细'!B54</x:f>
        <x:v>imap_login_log_local</x:v>
      </x:c>
      <x:c r="L20" s="263" t="n">
        <x:f>'明细'!E54</x:f>
        <x:v>13138456</x:v>
      </x:c>
      <x:c r="M20" s="266" t="n">
        <x:f>'明细'!I54</x:f>
        <x:v>0.0005562880605793907</x:v>
      </x:c>
      <x:c r="N20" s="269" t="n">
        <x:f>'明细'!J54</x:f>
        <x:v>0.0000020089944266050577</x:v>
      </x:c>
      <x:c r="O20" s="248" t="n">
        <x:f>'明细'!O54</x:f>
        <x:v>16.05</x:v>
      </x:c>
    </x:row>
    <x:row r="21">
      <x:c r="A21" s="236" t="str">
        <x:f>'明细'!C21</x:f>
        <x:v>大表</x:v>
      </x:c>
      <x:c r="B21" s="239" t="n">
        <x:f>'明细'!A21</x:f>
        <x:v>17</x:v>
      </x:c>
      <x:c r="C21" s="236" t="str">
        <x:f>'明细'!B21</x:f>
        <x:v>rdp_log_local</x:v>
      </x:c>
      <x:c r="D21" s="263" t="n">
        <x:f>'明细'!E21</x:f>
        <x:v>10489746999</x:v>
      </x:c>
      <x:c r="E21" s="266" t="n">
        <x:f>'明细'!I21</x:f>
        <x:v>0.2589781985998343</x:v>
      </x:c>
      <x:c r="F21" s="269" t="n">
        <x:f>'明细'!J21</x:f>
        <x:v>0.0009352811869760275</x:v>
      </x:c>
      <x:c r="G21" s="248" t="n">
        <x:f>'明细'!O21</x:f>
        <x:v>25.8</x:v>
      </x:c>
      <x:c r="I21" s="236" t="str">
        <x:f>'明细'!C55</x:f>
        <x:v>小表</x:v>
      </x:c>
      <x:c r="J21" s="239" t="n">
        <x:f>'明细'!A55</x:f>
        <x:v>51</x:v>
      </x:c>
      <x:c r="K21" s="236" t="str">
        <x:f>'明细'!B55</x:f>
        <x:v>socks_log_local</x:v>
      </x:c>
      <x:c r="L21" s="263" t="n">
        <x:f>'明细'!E55</x:f>
        <x:v>13633328</x:v>
      </x:c>
      <x:c r="M21" s="266" t="n">
        <x:f>'明细'!I55</x:f>
        <x:v>0.0002963743663713103</x:v>
      </x:c>
      <x:c r="N21" s="269" t="n">
        <x:f>'明细'!J55</x:f>
        <x:v>0.0000010703347643456986</x:v>
      </x:c>
      <x:c r="O21" s="248" t="n">
        <x:f>'明细'!O55</x:f>
        <x:v>30.91</x:v>
      </x:c>
    </x:row>
    <x:row r="22">
      <x:c r="A22" s="236" t="str">
        <x:f>'明细'!C22</x:f>
        <x:v>大表</x:v>
      </x:c>
      <x:c r="B22" s="239" t="n">
        <x:f>'明细'!A22</x:f>
        <x:v>18</x:v>
      </x:c>
      <x:c r="C22" s="236" t="str">
        <x:f>'明细'!B22</x:f>
        <x:v>mysql_log_local</x:v>
      </x:c>
      <x:c r="D22" s="263" t="n">
        <x:f>'明细'!E22</x:f>
        <x:v>8105607102</x:v>
      </x:c>
      <x:c r="E22" s="266" t="n">
        <x:f>'明细'!I22</x:f>
        <x:v>0.21807565786184568</x:v>
      </x:c>
      <x:c r="F22" s="269" t="n">
        <x:f>'明细'!J22</x:f>
        <x:v>0.0007875645951602336</x:v>
      </x:c>
      <x:c r="G22" s="248" t="n">
        <x:f>'明细'!O22</x:f>
        <x:v>57.35</x:v>
      </x:c>
      <x:c r="I22" s="236" t="str">
        <x:f>'明细'!C56</x:f>
        <x:v>小表</x:v>
      </x:c>
      <x:c r="J22" s="239" t="n">
        <x:f>'明细'!A56</x:f>
        <x:v>52</x:v>
      </x:c>
      <x:c r="K22" s="236" t="str">
        <x:f>'明细'!B56</x:f>
        <x:v>smtp_log_local</x:v>
      </x:c>
      <x:c r="L22" s="263" t="n">
        <x:f>'明细'!E56</x:f>
        <x:v>2012848</x:v>
      </x:c>
      <x:c r="M22" s="266" t="n">
        <x:f>'明细'!I56</x:f>
        <x:v>0.00028375303827488096</x:v>
      </x:c>
      <x:c r="N22" s="269" t="n">
        <x:f>'明细'!J56</x:f>
        <x:v>0.0000010247537432904</x:v>
      </x:c>
      <x:c r="O22" s="248" t="n">
        <x:f>'明细'!O56</x:f>
        <x:v>9.57</x:v>
      </x:c>
    </x:row>
    <x:row r="23">
      <x:c r="A23" s="236" t="str">
        <x:f>'明细'!C23</x:f>
        <x:v>大表</x:v>
      </x:c>
      <x:c r="B23" s="239" t="n">
        <x:f>'明细'!A23</x:f>
        <x:v>19</x:v>
      </x:c>
      <x:c r="C23" s="236" t="str">
        <x:f>'明细'!B23</x:f>
        <x:v>redis_log_local</x:v>
      </x:c>
      <x:c r="D23" s="263" t="n">
        <x:f>'明细'!E23</x:f>
        <x:v>9757749599</x:v>
      </x:c>
      <x:c r="E23" s="266" t="n">
        <x:f>'明细'!I23</x:f>
        <x:v>0.2172502441862889</x:v>
      </x:c>
      <x:c r="F23" s="269" t="n">
        <x:f>'明细'!J23</x:f>
        <x:v>0.000784583672880309</x:v>
      </x:c>
      <x:c r="G23" s="248" t="n">
        <x:f>'明细'!O23</x:f>
        <x:v>32.49</x:v>
      </x:c>
      <x:c r="I23" s="236" t="str">
        <x:f>'明细'!C57</x:f>
        <x:v>小表</x:v>
      </x:c>
      <x:c r="J23" s="239" t="n">
        <x:f>'明细'!A57</x:f>
        <x:v>53</x:v>
      </x:c>
      <x:c r="K23" s="236" t="str">
        <x:f>'明细'!B57</x:f>
        <x:v>alp_log_local</x:v>
      </x:c>
      <x:c r="L23" s="263" t="n">
        <x:f>'明细'!E57</x:f>
        <x:v>2484739</x:v>
      </x:c>
      <x:c r="M23" s="266" t="n">
        <x:f>'明细'!I57</x:f>
        <x:v>0.00022877131868881406</x:v>
      </x:c>
      <x:c r="N23" s="269" t="n">
        <x:f>'明细'!J57</x:f>
        <x:v>8.261912070056463e-7</x:v>
      </x:c>
      <x:c r="O23" s="248" t="n">
        <x:f>'明细'!O57</x:f>
        <x:v>11.2</x:v>
      </x:c>
    </x:row>
    <x:row r="24">
      <x:c r="A24" s="236" t="str">
        <x:f>'明细'!C24</x:f>
        <x:v>大表</x:v>
      </x:c>
      <x:c r="B24" s="239" t="n">
        <x:f>'明细'!A24</x:f>
        <x:v>20</x:v>
      </x:c>
      <x:c r="C24" s="236" t="str">
        <x:f>'明细'!B24</x:f>
        <x:v>endpoint_telemetry_behavior_log_local</x:v>
      </x:c>
      <x:c r="D24" s="263" t="n">
        <x:f>'明细'!E24</x:f>
        <x:v>576934189</x:v>
      </x:c>
      <x:c r="E24" s="266" t="n">
        <x:f>'明细'!I24</x:f>
        <x:v>0.1740055657355697</x:v>
      </x:c>
      <x:c r="F24" s="269" t="n">
        <x:f>'明细'!J24</x:f>
        <x:v>0.0006284086187234099</x:v>
      </x:c>
      <x:c r="G24" s="248" t="n">
        <x:f>'明细'!O24</x:f>
        <x:v>15.25</x:v>
      </x:c>
      <x:c r="I24" s="236" t="str">
        <x:f>'明细'!C58</x:f>
        <x:v>小表</x:v>
      </x:c>
      <x:c r="J24" s="239" t="n">
        <x:f>'明细'!A58</x:f>
        <x:v>54</x:v>
      </x:c>
      <x:c r="K24" s="236" t="str">
        <x:f>'明细'!B58</x:f>
        <x:v>smtp_login_log_local</x:v>
      </x:c>
      <x:c r="L24" s="263" t="n">
        <x:f>'明细'!E58</x:f>
        <x:v>4823408</x:v>
      </x:c>
      <x:c r="M24" s="266" t="n">
        <x:f>'明细'!I58</x:f>
        <x:v>0.00016936000884015812</x:v>
      </x:c>
      <x:c r="N24" s="269" t="n">
        <x:f>'明细'!J58</x:f>
        <x:v>6.116315232350795e-7</x:v>
      </x:c>
      <x:c r="O24" s="248" t="n">
        <x:f>'明细'!O58</x:f>
        <x:v>18.59</x:v>
      </x:c>
    </x:row>
    <x:row r="25">
      <x:c r="A25" s="236" t="str">
        <x:f>'明细'!C25</x:f>
        <x:v>大表</x:v>
      </x:c>
      <x:c r="B25" s="239" t="n">
        <x:f>'明细'!A25</x:f>
        <x:v>21</x:v>
      </x:c>
      <x:c r="C25" s="236" t="str">
        <x:f>'明细'!B25</x:f>
        <x:v>alert_relation_log_local</x:v>
      </x:c>
      <x:c r="D25" s="263" t="n">
        <x:f>'明细'!E25</x:f>
        <x:v>30121004695</x:v>
      </x:c>
      <x:c r="E25" s="266" t="n">
        <x:f>'明细'!I25</x:f>
        <x:v>0.16432534178056812</x:v>
      </x:c>
      <x:c r="F25" s="269" t="n">
        <x:f>'明细'!J25</x:f>
        <x:v>0.0005934491843008344</x:v>
      </x:c>
      <x:c r="G25" s="248" t="n">
        <x:f>'明细'!O25</x:f>
        <x:v>35.38</x:v>
      </x:c>
      <x:c r="I25" s="236" t="str">
        <x:f>'明细'!C59</x:f>
        <x:v>小表</x:v>
      </x:c>
      <x:c r="J25" s="239" t="n">
        <x:f>'明细'!A59</x:f>
        <x:v>55</x:v>
      </x:c>
      <x:c r="K25" s="236" t="str">
        <x:f>'明细'!B59</x:f>
        <x:v>ai_security_log_local</x:v>
      </x:c>
      <x:c r="L25" s="263" t="n">
        <x:f>'明细'!E59</x:f>
        <x:v>2228336</x:v>
      </x:c>
      <x:c r="M25" s="266" t="n">
        <x:f>'明细'!I59</x:f>
        <x:v>0.00013732868228544248</x:v>
      </x:c>
      <x:c r="N25" s="269" t="n">
        <x:f>'明细'!J59</x:f>
        <x:v>4.959526850839118e-7</x:v>
      </x:c>
      <x:c r="O25" s="248" t="n">
        <x:f>'明细'!O59</x:f>
        <x:v>20.14</x:v>
      </x:c>
    </x:row>
    <x:row r="26">
      <x:c r="A26" s="237" t="str">
        <x:f>'明细'!C26</x:f>
        <x:v>大表</x:v>
      </x:c>
      <x:c r="B26" s="240" t="n">
        <x:f>'明细'!A26</x:f>
        <x:v>22</x:v>
      </x:c>
      <x:c r="C26" s="237" t="str">
        <x:f>'明细'!B26</x:f>
        <x:v>operation_log_local</x:v>
      </x:c>
      <x:c r="D26" s="264" t="n">
        <x:f>'明细'!E26</x:f>
        <x:v>1519584860</x:v>
      </x:c>
      <x:c r="E26" s="267" t="n">
        <x:f>'明细'!I26</x:f>
        <x:v>0.10620048845885321</x:v>
      </x:c>
      <x:c r="F26" s="270" t="n">
        <x:f>'明细'!J26</x:f>
        <x:v>0.0003835354459960078</x:v>
      </x:c>
      <x:c r="G26" s="249" t="n">
        <x:f>'明细'!O26</x:f>
        <x:v>22.64</x:v>
      </x:c>
      <x:c r="I26" s="236" t="str">
        <x:f>'明细'!C60</x:f>
        <x:v>小表</x:v>
      </x:c>
      <x:c r="J26" s="239" t="n">
        <x:f>'明细'!A60</x:f>
        <x:v>56</x:v>
      </x:c>
      <x:c r="K26" s="236" t="str">
        <x:f>'明细'!B60</x:f>
        <x:v>ztna_user_security_log_local</x:v>
      </x:c>
      <x:c r="L26" s="263" t="n">
        <x:f>'明细'!E60</x:f>
        <x:v>726572</x:v>
      </x:c>
      <x:c r="M26" s="266" t="n">
        <x:f>'明细'!I60</x:f>
        <x:v>0.00010347689112677472</x:v>
      </x:c>
      <x:c r="N26" s="269" t="n">
        <x:f>'明细'!J60</x:f>
        <x:v>3.736993696028471e-7</x:v>
      </x:c>
      <x:c r="O26" s="248" t="n">
        <x:f>'明细'!O60</x:f>
        <x:v>14.66</x:v>
      </x:c>
    </x:row>
    <x:row r="27">
      <x:c r="I27" s="236" t="str">
        <x:f>'明细'!C61</x:f>
        <x:v>小表</x:v>
      </x:c>
      <x:c r="J27" s="239" t="n">
        <x:f>'明细'!A61</x:f>
        <x:v>57</x:v>
      </x:c>
      <x:c r="K27" s="236" t="str">
        <x:f>'明细'!B61</x:f>
        <x:v>telnet_login_log_local</x:v>
      </x:c>
      <x:c r="L27" s="263" t="n">
        <x:f>'明细'!E61</x:f>
        <x:v>1954274</x:v>
      </x:c>
      <x:c r="M27" s="266" t="n">
        <x:f>'明细'!I61</x:f>
        <x:v>0.00007687478228035616</x:v>
      </x:c>
      <x:c r="N27" s="269" t="n">
        <x:f>'明细'!J61</x:f>
        <x:v>2.776277617514527e-7</x:v>
      </x:c>
      <x:c r="O27" s="248" t="n">
        <x:f>'明细'!O61</x:f>
        <x:v>19.29</x:v>
      </x:c>
    </x:row>
    <x:row r="28">
      <x:c r="I28" s="236" t="str">
        <x:f>'明细'!C62</x:f>
        <x:v>小表</x:v>
      </x:c>
      <x:c r="J28" s="239" t="n">
        <x:f>'明细'!A62</x:f>
        <x:v>58</x:v>
      </x:c>
      <x:c r="K28" s="236" t="str">
        <x:f>'明细'!B62</x:f>
        <x:v>entraid_audit_log_local</x:v>
      </x:c>
      <x:c r="L28" s="263" t="n">
        <x:f>'明细'!E62</x:f>
        <x:v>508371</x:v>
      </x:c>
      <x:c r="M28" s="266" t="n">
        <x:f>'明细'!I62</x:f>
        <x:v>0.0000757153466111049</x:v>
      </x:c>
      <x:c r="N28" s="269" t="n">
        <x:f>'明细'!J62</x:f>
        <x:v>2.734405430016797e-7</x:v>
      </x:c>
      <x:c r="O28" s="248" t="n">
        <x:f>'明细'!O62</x:f>
        <x:v>15.24</x:v>
      </x:c>
    </x:row>
    <x:row r="29">
      <x:c r="I29" s="236" t="str">
        <x:f>'明细'!C63</x:f>
        <x:v>小表</x:v>
      </x:c>
      <x:c r="J29" s="239" t="n">
        <x:f>'明细'!A63</x:f>
        <x:v>59</x:v>
      </x:c>
      <x:c r="K29" s="236" t="str">
        <x:f>'明细'!B63</x:f>
        <x:v>nfs_log_local</x:v>
      </x:c>
      <x:c r="L29" s="263" t="n">
        <x:f>'明细'!E63</x:f>
        <x:v>3076905</x:v>
      </x:c>
      <x:c r="M29" s="266" t="n">
        <x:f>'明细'!I63</x:f>
        <x:v>0.0000422606408392312</x:v>
      </x:c>
      <x:c r="N29" s="269" t="n">
        <x:f>'明细'!J63</x:f>
        <x:v>1.5262127291091997e-7</x:v>
      </x:c>
      <x:c r="O29" s="248" t="n">
        <x:f>'明细'!O63</x:f>
        <x:v>48.79</x:v>
      </x:c>
    </x:row>
    <x:row r="30">
      <x:c r="I30" s="236" t="str">
        <x:f>'明细'!C64</x:f>
        <x:v>小表</x:v>
      </x:c>
      <x:c r="J30" s="239" t="n">
        <x:f>'明细'!A64</x:f>
        <x:v>60</x:v>
      </x:c>
      <x:c r="K30" s="236" t="str">
        <x:f>'明细'!B64</x:f>
        <x:v>db2_log_local</x:v>
      </x:c>
      <x:c r="L30" s="263" t="n">
        <x:f>'明细'!E64</x:f>
        <x:v>1151360</x:v>
      </x:c>
      <x:c r="M30" s="266" t="n">
        <x:f>'明细'!I64</x:f>
        <x:v>0.000029226632250356488</x:v>
      </x:c>
      <x:c r="N30" s="269" t="n">
        <x:f>'明细'!J64</x:f>
        <x:v>1.0554988585993953e-7</x:v>
      </x:c>
      <x:c r="O30" s="248" t="n">
        <x:f>'明细'!O64</x:f>
        <x:v>30.16</x:v>
      </x:c>
    </x:row>
    <x:row r="31">
      <x:c r="I31" s="236" t="str">
        <x:f>'明细'!C65</x:f>
        <x:v>小表</x:v>
      </x:c>
      <x:c r="J31" s="239" t="n">
        <x:f>'明细'!A65</x:f>
        <x:v>61</x:v>
      </x:c>
      <x:c r="K31" s="236" t="str">
        <x:f>'明细'!B65</x:f>
        <x:v>sas_log_local</x:v>
      </x:c>
      <x:c r="L31" s="263" t="n">
        <x:f>'明细'!E65</x:f>
        <x:v>215851</x:v>
      </x:c>
      <x:c r="M31" s="266" t="n">
        <x:f>'明细'!I65</x:f>
        <x:v>0.00002057698839053046</x:v>
      </x:c>
      <x:c r="N31" s="269" t="n">
        <x:f>'明细'!J65</x:f>
        <x:v>7.431231752455158e-8</x:v>
      </x:c>
      <x:c r="O31" s="248" t="n">
        <x:f>'明细'!O65</x:f>
        <x:v>11.55</x:v>
      </x:c>
    </x:row>
    <x:row r="32">
      <x:c r="I32" s="236" t="str">
        <x:f>'明细'!C66</x:f>
        <x:v>小表</x:v>
      </x:c>
      <x:c r="J32" s="239" t="n">
        <x:f>'明细'!A66</x:f>
        <x:v>62</x:v>
      </x:c>
      <x:c r="K32" s="236" t="str">
        <x:f>'明细'!B66</x:f>
        <x:v>endpoint_telemetry_security_log_local</x:v>
      </x:c>
      <x:c r="L32" s="263" t="n">
        <x:f>'明细'!E66</x:f>
        <x:v>13389</x:v>
      </x:c>
      <x:c r="M32" s="266" t="n">
        <x:f>'明细'!I66</x:f>
        <x:v>0.000009488914656685665</x:v>
      </x:c>
      <x:c r="N32" s="269" t="n">
        <x:f>'明细'!J66</x:f>
        <x:v>3.426853461488581e-8</x:v>
      </x:c>
      <x:c r="O32" s="248" t="n">
        <x:f>'明细'!O66</x:f>
        <x:v>1.52</x:v>
      </x:c>
    </x:row>
    <x:row r="33">
      <x:c r="I33" s="236" t="str">
        <x:f>'明细'!C67</x:f>
        <x:v>小表</x:v>
      </x:c>
      <x:c r="J33" s="239" t="n">
        <x:f>'明细'!A67</x:f>
        <x:v>63</x:v>
      </x:c>
      <x:c r="K33" s="236" t="str">
        <x:f>'明细'!B67</x:f>
        <x:v>imap_log_local</x:v>
      </x:c>
      <x:c r="L33" s="263" t="n">
        <x:f>'明细'!E67</x:f>
        <x:v>3782</x:v>
      </x:c>
      <x:c r="M33" s="266" t="n">
        <x:f>'明细'!I67</x:f>
        <x:v>0.0000046165077947080135</x:v>
      </x:c>
      <x:c r="N33" s="269" t="n">
        <x:f>'明细'!J67</x:f>
        <x:v>1.6672186744916824e-8</x:v>
      </x:c>
      <x:c r="O33" s="248" t="n">
        <x:f>'明细'!O67</x:f>
        <x:v>3.72</x:v>
      </x:c>
    </x:row>
    <x:row r="34">
      <x:c r="I34" s="236" t="str">
        <x:f>'明细'!C68</x:f>
        <x:v>小表</x:v>
      </x:c>
      <x:c r="J34" s="239" t="n">
        <x:f>'明细'!A68</x:f>
        <x:v>64</x:v>
      </x:c>
      <x:c r="K34" s="236" t="str">
        <x:f>'明细'!B68</x:f>
        <x:v>pop3_log_local</x:v>
      </x:c>
      <x:c r="L34" s="263" t="n">
        <x:f>'明细'!E68</x:f>
        <x:v>6191</x:v>
      </x:c>
      <x:c r="M34" s="266" t="n">
        <x:f>'明细'!I68</x:f>
        <x:v>0.0000041180583139066584</x:v>
      </x:c>
      <x:c r="N34" s="269" t="n">
        <x:f>'明细'!J68</x:f>
        <x:v>1.4872072200248836e-8</x:v>
      </x:c>
      <x:c r="O34" s="248" t="n">
        <x:f>'明细'!O68</x:f>
        <x:v>4.9</x:v>
      </x:c>
    </x:row>
    <x:row r="35">
      <x:c r="I35" s="236" t="str">
        <x:f>'明细'!C69</x:f>
        <x:v>小表</x:v>
      </x:c>
      <x:c r="J35" s="239" t="n">
        <x:f>'明细'!A69</x:f>
        <x:v>65</x:v>
      </x:c>
      <x:c r="K35" s="236" t="str">
        <x:f>'明细'!B69</x:f>
        <x:v>weak_log_local_old</x:v>
      </x:c>
      <x:c r="L35" s="263" t="n">
        <x:f>'明细'!E69</x:f>
        <x:v>492</x:v>
      </x:c>
      <x:c r="M35" s="266" t="n">
        <x:f>'明细'!I69</x:f>
        <x:v>2.61683453572914e-7</x:v>
      </x:c>
      <x:c r="N35" s="269" t="n">
        <x:f>'明细'!J69</x:f>
        <x:v>9.450510212554153e-10</x:v>
      </x:c>
      <x:c r="O35" s="248" t="n">
        <x:f>'明细'!O69</x:f>
        <x:v>1.52</x:v>
      </x:c>
    </x:row>
    <x:row r="36">
      <x:c r="I36" s="237" t="str">
        <x:f>'明细'!C70</x:f>
        <x:v>小表</x:v>
      </x:c>
      <x:c r="J36" s="240" t="n">
        <x:f>'明细'!A70</x:f>
        <x:v>66</x:v>
      </x:c>
      <x:c r="K36" s="237" t="str">
        <x:f>'明细'!B70</x:f>
        <x:v>data_auth_ck_local</x:v>
      </x:c>
      <x:c r="L36" s="264" t="n">
        <x:f>'明细'!E70</x:f>
        <x:v>186</x:v>
      </x:c>
      <x:c r="M36" s="267" t="n">
        <x:f>'明细'!I70</x:f>
        <x:v>1.569696905789897e-8</x:v>
      </x:c>
      <x:c r="N36" s="270" t="n">
        <x:f>'明细'!J70</x:f>
        <x:v>5.668847776288114e-11</x:v>
      </x:c>
      <x:c r="O36" s="249" t="n">
        <x:f>'明细'!O70</x:f>
        <x:v>1.4</x:v>
      </x:c>
    </x:row>
  </x:sheetData>
  <x:mergeCells>
    <x:mergeCell ref="A1:G1"/>
    <x:mergeCell ref="I1:O1"/>
    <x:mergeCell ref="A2:G2"/>
    <x:mergeCell ref="I2:O2"/>
  </x:mergeCells>
  <x:conditionalFormatting sqref="A5:A26">
    <x:cfRule type="containsText" dxfId="4" priority="1" operator="containsText" text="大表"/>
    <x:cfRule type="containsText" dxfId="5" priority="2" operator="containsText" text="超大表"/>
  </x:conditionalFormatting>
  <x:conditionalFormatting sqref="I5:I36">
    <x:cfRule type="containsText" dxfId="6" priority="3" operator="containsText" text="小表"/>
  </x:conditionalFormatting>
  <x:pageMargins left="0.7" right="0.7" top="0.75" bottom="0.75" header="0.3" footer="0.3"/>
  <x:tableParts count="2">
    <x:tablePart xmlns:r="http://schemas.openxmlformats.org/officeDocument/2006/relationships" r:id="R1f4fb94f9a5b44d0"/>
    <x:tablePart xmlns:r="http://schemas.openxmlformats.org/officeDocument/2006/relationships" r:id="R61079af214114611"/>
  </x:tableParts>
</x:worksheet>
</file>