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8fa946411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老对比" sheetId="1" r:id="Rd82d909facb74e1b"/>
    <x:sheet xmlns:r="http://schemas.openxmlformats.org/officeDocument/2006/relationships" name="表级对比" sheetId="2" r:id="R7ea57c1453f64d33"/>
    <x:sheet xmlns:r="http://schemas.openxmlformats.org/officeDocument/2006/relationships" name="新集群汇总" sheetId="3" r:id="R38f6a66303fd41a0"/>
    <x:sheet xmlns:r="http://schemas.openxmlformats.org/officeDocument/2006/relationships" name="新集群大小表" sheetId="4" r:id="Rbd9bf6fcef734156"/>
    <x:sheet xmlns:r="http://schemas.openxmlformats.org/officeDocument/2006/relationships" name="新集群明细" sheetId="5" r:id="R6af39eedc333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#,##0.00"/>
    <x:numFmt numFmtId="202" formatCode="#,##0.000"/>
    <x:numFmt numFmtId="203" formatCode="0.00%"/>
    <x:numFmt numFmtId="204" formatCode="0.00"/>
    <x:numFmt numFmtId="205" formatCode="0.0%"/>
    <x:numFmt numFmtId="206" formatCode="0.000"/>
    <x:numFmt numFmtId="207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667085"/>
      <x:name val="Carlito"/>
    </x:font>
    <x:font>
      <x:b/>
      <x:sz val="20"/>
      <x:color rgb="FF17365D"/>
      <x:name val="Carlito"/>
    </x:font>
    <x:font>
      <x:b/>
      <x:sz val="12"/>
      <x:color rgb="FF17365D"/>
      <x:name val="Carlito"/>
    </x:font>
    <x:font>
      <x:b/>
      <x:sz val="11"/>
      <x:name val="Carlito"/>
    </x:font>
    <x:font>
      <x:sz val="11"/>
      <x:color rgb="FF34405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</x:fills>
  <x:borders count="18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FD6DE"/>
      </x:left>
      <x:top style="thin">
        <x:color rgb="FFCFD6DE"/>
      </x:top>
    </x:border>
    <x:border>
      <x:top style="thin">
        <x:color rgb="FFCFD6DE"/>
      </x:top>
    </x:border>
    <x:border>
      <x:right style="thin">
        <x:color rgb="FFCFD6DE"/>
      </x:right>
      <x:top style="thin">
        <x:color rgb="FFCFD6DE"/>
      </x:top>
    </x:border>
    <x:border>
      <x:left style="thin">
        <x:color rgb="FFCFD6DE"/>
      </x:left>
    </x:border>
    <x:border>
      <x:right style="thin">
        <x:color rgb="FFCFD6DE"/>
      </x:right>
    </x:border>
    <x:border>
      <x:left style="thin">
        <x:color rgb="FFCFD6DE"/>
      </x:left>
      <x:bottom style="thin">
        <x:color rgb="FFCFD6DE"/>
      </x:bottom>
    </x:border>
    <x:border>
      <x:bottom style="thin">
        <x:color rgb="FFCFD6DE"/>
      </x:bottom>
    </x:border>
    <x:border>
      <x:right style="thin">
        <x:color rgb="FFCFD6DE"/>
      </x:right>
      <x:bottom style="thin">
        <x:color rgb="FFCFD6DE"/>
      </x:bottom>
    </x:border>
    <x:border>
      <x:left style="thin">
        <x:color rgb="FFCFD6DE"/>
      </x:left>
      <x:top style="thin">
        <x:color rgb="FFCFD6DE"/>
      </x:top>
      <x:bottom style="thin">
        <x:color rgb="FFCFD6DE"/>
      </x:bottom>
    </x:border>
    <x:border>
      <x:top style="thin">
        <x:color rgb="FFCFD6DE"/>
      </x:top>
      <x:bottom style="thin">
        <x:color rgb="FFCFD6DE"/>
      </x:bottom>
    </x:border>
    <x:border>
      <x:right style="thin">
        <x:color rgb="FFCFD6DE"/>
      </x:right>
      <x:top style="thin">
        <x:color rgb="FFCFD6DE"/>
      </x:top>
      <x:bottom style="thin">
        <x:color rgb="FFCFD6DE"/>
      </x:bottom>
    </x:border>
  </x:borders>
  <x:cellStyleXfs count="1">
    <x:xf numFmtId="0" fontId="0" fillId="0" borderId="0"/>
  </x:cellStyleXfs>
  <x:cellXfs count="2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202" fontId="4" fillId="0" borderId="4" xfId="0" applyNumberFormat="1" applyFont="1" applyFill="1" applyBorder="1" applyAlignment="1">
      <x:alignment horizontal="right" vertical="center"/>
    </x:xf>
    <x:xf numFmtId="202" fontId="4" fillId="0" borderId="5" xfId="0" applyNumberFormat="1" applyFont="1" applyFill="1" applyBorder="1" applyAlignment="1">
      <x:alignment horizontal="right" vertical="center"/>
    </x:xf>
    <x:xf numFmtId="202" fontId="4" fillId="0" borderId="6" xfId="0" applyNumberFormat="1" applyFont="1" applyFill="1" applyBorder="1" applyAlignment="1">
      <x:alignment horizontal="right" vertical="center"/>
    </x:xf>
    <x:xf numFmtId="203" fontId="4" fillId="0" borderId="4" xfId="0" applyNumberFormat="1" applyFont="1" applyFill="1" applyBorder="1" applyAlignment="1">
      <x:alignment horizontal="right" vertical="center"/>
    </x:xf>
    <x:xf numFmtId="203" fontId="4" fillId="0" borderId="5" xfId="0" applyNumberFormat="1" applyFont="1" applyFill="1" applyBorder="1" applyAlignment="1">
      <x:alignment horizontal="right" vertical="center"/>
    </x:xf>
    <x:xf numFmtId="203" fontId="4" fillId="0" borderId="6" xfId="0" applyNumberFormat="1" applyFont="1" applyFill="1" applyBorder="1" applyAlignment="1">
      <x:alignment horizontal="right" vertical="center"/>
    </x:xf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7" xfId="0" applyNumberFormat="1" applyFont="1" applyFill="1" applyBorder="1" applyAlignment="1">
      <x:alignment horizontal="center"/>
    </x:xf>
    <x:xf numFmtId="0" fontId="0" fillId="3" borderId="8" xfId="0" applyNumberFormat="1" applyFont="1" applyFill="1" applyBorder="1" applyAlignment="1">
      <x:alignment horizontal="center"/>
    </x:xf>
    <x:xf numFmtId="0" fontId="0" fillId="3" borderId="9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 applyAlignment="1">
      <x:alignment horizontal="center"/>
    </x:xf>
    <x:xf numFmtId="0" fontId="0" fillId="3" borderId="13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 applyAlignment="1">
      <x:alignment horizontal="center"/>
    </x:xf>
    <x:xf numFmtId="0" fontId="0" fillId="3" borderId="7" xfId="0" applyNumberFormat="1" applyFont="1" applyFill="1" applyBorder="1" applyAlignment="1">
      <x:alignment horizontal="center" vertical="center"/>
    </x:xf>
    <x:xf numFmtId="0" fontId="0" fillId="3" borderId="8" xfId="0" applyNumberFormat="1" applyFont="1" applyFill="1" applyBorder="1" applyAlignment="1">
      <x:alignment horizontal="center" vertical="center"/>
    </x:xf>
    <x:xf numFmtId="0" fontId="0" fillId="3" borderId="9" xfId="0" applyNumberFormat="1" applyFont="1" applyFill="1" applyBorder="1" applyAlignment="1">
      <x:alignment horizontal="center" vertical="center"/>
    </x:xf>
    <x:xf numFmtId="0" fontId="0" fillId="3" borderId="1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1" xfId="0" applyNumberFormat="1" applyFont="1" applyFill="1" applyBorder="1" applyAlignment="1">
      <x:alignment horizontal="center" vertical="center"/>
    </x:xf>
    <x:xf numFmtId="0" fontId="0" fillId="3" borderId="12" xfId="0" applyNumberFormat="1" applyFont="1" applyFill="1" applyBorder="1" applyAlignment="1">
      <x:alignment horizontal="center" vertical="center"/>
    </x:xf>
    <x:xf numFmtId="0" fontId="0" fillId="3" borderId="13" xfId="0" applyNumberFormat="1" applyFont="1" applyFill="1" applyBorder="1" applyAlignment="1">
      <x:alignment horizontal="center" vertical="center"/>
    </x:xf>
    <x:xf numFmtId="0" fontId="0" fillId="3" borderId="14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1" xfId="0" applyNumberFormat="1" applyFont="1" applyFill="1" applyBorder="1" applyAlignment="1">
      <x:alignment horizontal="center" vertic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3" xfId="0" applyNumberFormat="1" applyFont="1" applyFill="1" applyBorder="1" applyAlignment="1">
      <x:alignment horizontal="center" vertical="center"/>
    </x:xf>
    <x:xf numFmtId="0" fontId="6" fillId="3" borderId="1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4" borderId="1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1" xfId="0" applyNumberFormat="1" applyFont="1" applyFill="1" applyBorder="1" applyAlignment="1">
      <x:alignment horizontal="center"/>
    </x:xf>
    <x:xf numFmtId="0" fontId="0" fillId="4" borderId="12" xfId="0" applyNumberFormat="1" applyFont="1" applyFill="1" applyBorder="1" applyAlignment="1">
      <x:alignment horizontal="center"/>
    </x:xf>
    <x:xf numFmtId="0" fontId="0" fillId="4" borderId="13" xfId="0" applyNumberFormat="1" applyFont="1" applyFill="1" applyBorder="1" applyAlignment="1">
      <x:alignment horizontal="center"/>
    </x:xf>
    <x:xf numFmtId="0" fontId="0" fillId="4" borderId="14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0" fillId="4" borderId="9" xfId="0" applyNumberFormat="1" applyFont="1" applyFill="1" applyBorder="1" applyAlignment="1">
      <x:alignment horizontal="center" vertical="center"/>
    </x:xf>
    <x:xf numFmtId="0" fontId="0" fillId="4" borderId="1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11" xfId="0" applyNumberFormat="1" applyFont="1" applyFill="1" applyBorder="1" applyAlignment="1">
      <x:alignment horizontal="center" vertical="center"/>
    </x:xf>
    <x:xf numFmtId="0" fontId="0" fillId="4" borderId="12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horizontal="center" vertical="center"/>
    </x:xf>
    <x:xf numFmtId="0" fontId="0" fillId="4" borderId="14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1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1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 applyAlignment="1">
      <x:alignment horizontal="center"/>
    </x:xf>
    <x:xf numFmtId="0" fontId="0" fillId="5" borderId="13" xfId="0" applyNumberFormat="1" applyFont="1" applyFill="1" applyBorder="1" applyAlignment="1">
      <x:alignment horizontal="center"/>
    </x:xf>
    <x:xf numFmtId="0" fontId="0" fillId="5" borderId="14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1" xfId="0" applyNumberFormat="1" applyFont="1" applyFill="1" applyBorder="1" applyAlignment="1">
      <x:alignment horizontal="center" vertical="center"/>
    </x:xf>
    <x:xf numFmtId="0" fontId="0" fillId="5" borderId="12" xfId="0" applyNumberFormat="1" applyFont="1" applyFill="1" applyBorder="1" applyAlignment="1">
      <x:alignment horizontal="center" vertical="center"/>
    </x:xf>
    <x:xf numFmtId="0" fontId="0" fillId="5" borderId="13" xfId="0" applyNumberFormat="1" applyFont="1" applyFill="1" applyBorder="1" applyAlignment="1">
      <x:alignment horizontal="center" vertical="center"/>
    </x:xf>
    <x:xf numFmtId="0" fontId="0" fillId="5" borderId="14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6" fillId="5" borderId="13" xfId="0" applyNumberFormat="1" applyFont="1" applyFill="1" applyBorder="1" applyAlignment="1">
      <x:alignment horizontal="center" vertical="center"/>
    </x:xf>
    <x:xf numFmtId="0" fontId="6" fillId="5" borderId="14" xfId="0" applyNumberFormat="1" applyFont="1" applyFill="1" applyBorder="1" applyAlignment="1">
      <x:alignment horizontal="center" vertical="center"/>
    </x:xf>
    <x:xf numFmtId="204" fontId="6" fillId="3" borderId="10" xfId="0" applyNumberFormat="1" applyFont="1" applyFill="1" applyBorder="1" applyAlignment="1">
      <x:alignment horizontal="center" vertical="center"/>
    </x:xf>
    <x:xf numFmtId="204" fontId="6" fillId="3" borderId="0" xfId="0" applyNumberFormat="1" applyFont="1" applyFill="1" applyBorder="1" applyAlignment="1">
      <x:alignment horizontal="center" vertical="center"/>
    </x:xf>
    <x:xf numFmtId="204" fontId="6" fillId="3" borderId="11" xfId="0" applyNumberFormat="1" applyFont="1" applyFill="1" applyBorder="1" applyAlignment="1">
      <x:alignment horizontal="center" vertical="center"/>
    </x:xf>
    <x:xf numFmtId="204" fontId="6" fillId="3" borderId="12" xfId="0" applyNumberFormat="1" applyFont="1" applyFill="1" applyBorder="1" applyAlignment="1">
      <x:alignment horizontal="center" vertical="center"/>
    </x:xf>
    <x:xf numFmtId="204" fontId="6" fillId="3" borderId="13" xfId="0" applyNumberFormat="1" applyFont="1" applyFill="1" applyBorder="1" applyAlignment="1">
      <x:alignment horizontal="center" vertical="center"/>
    </x:xf>
    <x:xf numFmtId="204" fontId="6" fillId="3" borderId="14" xfId="0" applyNumberFormat="1" applyFont="1" applyFill="1" applyBorder="1" applyAlignment="1">
      <x:alignment horizontal="center" vertical="center"/>
    </x:xf>
    <x:xf numFmtId="201" fontId="6" fillId="4" borderId="10" xfId="0" applyNumberFormat="1" applyFont="1" applyFill="1" applyBorder="1" applyAlignment="1">
      <x:alignment horizontal="center" vertical="center"/>
    </x:xf>
    <x:xf numFmtId="201" fontId="6" fillId="4" borderId="0" xfId="0" applyNumberFormat="1" applyFont="1" applyFill="1" applyBorder="1" applyAlignment="1">
      <x:alignment horizontal="center" vertical="center"/>
    </x:xf>
    <x:xf numFmtId="201" fontId="6" fillId="4" borderId="11" xfId="0" applyNumberFormat="1" applyFont="1" applyFill="1" applyBorder="1" applyAlignment="1">
      <x:alignment horizontal="center" vertical="center"/>
    </x:xf>
    <x:xf numFmtId="201" fontId="6" fillId="4" borderId="12" xfId="0" applyNumberFormat="1" applyFont="1" applyFill="1" applyBorder="1" applyAlignment="1">
      <x:alignment horizontal="center" vertical="center"/>
    </x:xf>
    <x:xf numFmtId="201" fontId="6" fillId="4" borderId="13" xfId="0" applyNumberFormat="1" applyFont="1" applyFill="1" applyBorder="1" applyAlignment="1">
      <x:alignment horizontal="center" vertical="center"/>
    </x:xf>
    <x:xf numFmtId="201" fontId="6" fillId="4" borderId="14" xfId="0" applyNumberFormat="1" applyFont="1" applyFill="1" applyBorder="1" applyAlignment="1">
      <x:alignment horizontal="center" vertical="center"/>
    </x:xf>
    <x:xf numFmtId="205" fontId="6" fillId="4" borderId="10" xfId="0" applyNumberFormat="1" applyFont="1" applyFill="1" applyBorder="1" applyAlignment="1">
      <x:alignment horizontal="center" vertical="center"/>
    </x:xf>
    <x:xf numFmtId="205" fontId="6" fillId="4" borderId="0" xfId="0" applyNumberFormat="1" applyFont="1" applyFill="1" applyBorder="1" applyAlignment="1">
      <x:alignment horizontal="center" vertical="center"/>
    </x:xf>
    <x:xf numFmtId="205" fontId="6" fillId="4" borderId="11" xfId="0" applyNumberFormat="1" applyFont="1" applyFill="1" applyBorder="1" applyAlignment="1">
      <x:alignment horizontal="center" vertical="center"/>
    </x:xf>
    <x:xf numFmtId="205" fontId="6" fillId="4" borderId="12" xfId="0" applyNumberFormat="1" applyFont="1" applyFill="1" applyBorder="1" applyAlignment="1">
      <x:alignment horizontal="center" vertical="center"/>
    </x:xf>
    <x:xf numFmtId="205" fontId="6" fillId="4" borderId="13" xfId="0" applyNumberFormat="1" applyFont="1" applyFill="1" applyBorder="1" applyAlignment="1">
      <x:alignment horizontal="center" vertical="center"/>
    </x:xf>
    <x:xf numFmtId="205" fontId="6" fillId="4" borderId="14" xfId="0" applyNumberFormat="1" applyFont="1" applyFill="1" applyBorder="1" applyAlignment="1">
      <x:alignment horizontal="center" vertical="center"/>
    </x:xf>
    <x:xf numFmtId="204" fontId="6" fillId="5" borderId="10" xfId="0" applyNumberFormat="1" applyFont="1" applyFill="1" applyBorder="1" applyAlignment="1">
      <x:alignment horizontal="center" vertical="center"/>
    </x:xf>
    <x:xf numFmtId="204" fontId="6" fillId="5" borderId="0" xfId="0" applyNumberFormat="1" applyFont="1" applyFill="1" applyBorder="1" applyAlignment="1">
      <x:alignment horizontal="center" vertical="center"/>
    </x:xf>
    <x:xf numFmtId="204" fontId="6" fillId="5" borderId="11" xfId="0" applyNumberFormat="1" applyFont="1" applyFill="1" applyBorder="1" applyAlignment="1">
      <x:alignment horizontal="center" vertical="center"/>
    </x:xf>
    <x:xf numFmtId="204" fontId="6" fillId="5" borderId="12" xfId="0" applyNumberFormat="1" applyFont="1" applyFill="1" applyBorder="1" applyAlignment="1">
      <x:alignment horizontal="center" vertical="center"/>
    </x:xf>
    <x:xf numFmtId="204" fontId="6" fillId="5" borderId="13" xfId="0" applyNumberFormat="1" applyFont="1" applyFill="1" applyBorder="1" applyAlignment="1">
      <x:alignment horizontal="center" vertical="center"/>
    </x:xf>
    <x:xf numFmtId="204" fontId="6" fillId="5" borderId="14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1" xfId="0" applyNumberFormat="1" applyFont="1" applyFill="1" applyBorder="1" applyAlignment="1">
      <x:alignment horizontal="center" vertical="center"/>
    </x:xf>
    <x:xf numFmtId="201" fontId="6" fillId="5" borderId="12" xfId="0" applyNumberFormat="1" applyFont="1" applyFill="1" applyBorder="1" applyAlignment="1">
      <x:alignment horizontal="center" vertical="center"/>
    </x:xf>
    <x:xf numFmtId="201" fontId="6" fillId="5" borderId="13" xfId="0" applyNumberFormat="1" applyFont="1" applyFill="1" applyBorder="1" applyAlignment="1">
      <x:alignment horizontal="center" vertical="center"/>
    </x:xf>
    <x:xf numFmtId="201" fontId="6" fillId="5" borderId="14" xfId="0" applyNumberFormat="1" applyFont="1" applyFill="1" applyBorder="1" applyAlignment="1">
      <x:alignment horizontal="center" vertical="center"/>
    </x:xf>
    <x:xf numFmtId="201" fontId="6" fillId="3" borderId="10" xfId="0" applyNumberFormat="1" applyFont="1" applyFill="1" applyBorder="1" applyAlignment="1">
      <x:alignment horizontal="center" vertical="center"/>
    </x:xf>
    <x:xf numFmtId="201" fontId="6" fillId="3" borderId="0" xfId="0" applyNumberFormat="1" applyFont="1" applyFill="1" applyBorder="1" applyAlignment="1">
      <x:alignment horizontal="center" vertical="center"/>
    </x:xf>
    <x:xf numFmtId="201" fontId="6" fillId="3" borderId="11" xfId="0" applyNumberFormat="1" applyFont="1" applyFill="1" applyBorder="1" applyAlignment="1">
      <x:alignment horizontal="center" vertical="center"/>
    </x:xf>
    <x:xf numFmtId="201" fontId="6" fillId="3" borderId="12" xfId="0" applyNumberFormat="1" applyFont="1" applyFill="1" applyBorder="1" applyAlignment="1">
      <x:alignment horizontal="center" vertical="center"/>
    </x:xf>
    <x:xf numFmtId="201" fontId="6" fillId="3" borderId="13" xfId="0" applyNumberFormat="1" applyFont="1" applyFill="1" applyBorder="1" applyAlignment="1">
      <x:alignment horizontal="center" vertical="center"/>
    </x:xf>
    <x:xf numFmtId="201" fontId="6" fillId="3" borderId="1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5" xfId="0" applyNumberFormat="1" applyFont="1" applyFill="1" applyBorder="1" applyAlignment="1">
      <x:alignment vertical="center"/>
    </x:xf>
    <x:xf numFmtId="0" fontId="7" fillId="6" borderId="16" xfId="0" applyNumberFormat="1" applyFont="1" applyFill="1" applyBorder="1" applyAlignment="1">
      <x:alignment vertical="center"/>
    </x:xf>
    <x:xf numFmtId="0" fontId="7" fillId="6" borderId="17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2" fontId="0" fillId="0" borderId="13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3" fontId="0" fillId="0" borderId="13" xfId="0" applyNumberFormat="1" applyFont="1" applyFill="1" applyBorder="1" applyAlignment="1">
      <x:alignment vertical="center"/>
    </x:xf>
    <x:xf numFmtId="203" fontId="0" fillId="0" borderId="16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206" fontId="0" fillId="0" borderId="13" xfId="0" applyNumberFormat="1" applyFont="1" applyFill="1" applyBorder="1" applyAlignment="1">
      <x:alignment vertical="center"/>
    </x:xf>
    <x:xf numFmtId="206" fontId="0" fillId="0" borderId="16" xfId="0" applyNumberFormat="1" applyFont="1" applyFill="1" applyBorder="1" applyAlignment="1">
      <x:alignment vertical="center"/>
    </x:xf>
    <x:xf numFmtId="206" fontId="0" fillId="0" borderId="8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6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5" fontId="0" fillId="0" borderId="4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207" fontId="0" fillId="0" borderId="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7" fontId="0" fillId="0" borderId="5" xfId="0" applyNumberFormat="1" applyFont="1" applyFill="1" applyBorder="1" applyAlignment="1">
      <x:alignment vertical="center"/>
    </x:xf>
    <x:xf numFmtId="207" fontId="0" fillId="0" borderId="6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  <x:dxfs count="22"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17365D"/>
      </x:font>
      <x:fill>
        <x:patternFill patternType="solid">
          <x:bgColor rgb="FFEEF5FB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17365D"/>
      </x:font>
      <x:fill>
        <x:patternFill patternType="solid">
          <x:bgColor rgb="FFEEF5FB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17365D"/>
      </x:font>
      <x:fill>
        <x:patternFill patternType="solid">
          <x:bgColor rgb="FFEEF5FB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17365D"/>
      </x:font>
      <x:fill>
        <x:patternFill patternType="solid">
          <x:bgColor rgb="FFEEF5FB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667085"/>
      </x:font>
      <x:fill>
        <x:patternFill patternType="solid">
          <x:bgColor rgb="FFF2F4F7"/>
        </x:patternFill>
      </x:fill>
    </x:dxf>
    <x:dxf>
      <x:font>
        <x:color rgb="FF9C0006"/>
      </x:font>
      <x:fill>
        <x:patternFill patternType="solid">
          <x:bgColor rgb="FFFDE9E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DE9E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81fab47f946d9" /><Relationship Type="http://schemas.openxmlformats.org/officeDocument/2006/relationships/theme" Target="/xl/theme/theme1.xml" Id="R0e774a152e854e4c" /><Relationship Type="http://schemas.openxmlformats.org/officeDocument/2006/relationships/sharedStrings" Target="/xl/sharedStrings.xml" Id="R6b23cf27e231459d" /><Relationship Type="http://schemas.openxmlformats.org/officeDocument/2006/relationships/worksheet" Target="/xl/worksheets/sheet1.xml" Id="Rd82d909facb74e1b" /><Relationship Type="http://schemas.openxmlformats.org/officeDocument/2006/relationships/worksheet" Target="/xl/worksheets/sheet2.xml" Id="R7ea57c1453f64d33" /><Relationship Type="http://schemas.openxmlformats.org/officeDocument/2006/relationships/worksheet" Target="/xl/worksheets/sheet3.xml" Id="R38f6a66303fd41a0" /><Relationship Type="http://schemas.openxmlformats.org/officeDocument/2006/relationships/worksheet" Target="/xl/worksheets/sheet4.xml" Id="Rbd9bf6fcef734156" /><Relationship Type="http://schemas.openxmlformats.org/officeDocument/2006/relationships/worksheet" Target="/xl/worksheets/sheet5.xml" Id="R6af39eedc3334b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7c80077ca54b9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06d5f5dde4143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头部表双副本容量：老集群 vs 新集群（TiB）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老集群TiB</c:v>
          </c:tx>
          <c:spPr>
            <a:solidFill xmlns:a="http://schemas.openxmlformats.org/drawingml/2006/main">
              <a:srgbClr val="7F8C8D"/>
            </a:solidFill>
          </c:spPr>
          <c:cat>
            <c:strRef>
              <c:f>'新老对比'!$I$19:$I$26</c:f>
              <c:strCache>
                <c:ptCount val="0"/>
              </c:strCache>
            </c:strRef>
          </c:cat>
          <c:val>
            <c:numRef>
              <c:f>'新老对比'!$J$19:$J$26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新集群TiB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'新老对比'!$I$19:$I$26</c:f>
              <c:strCache>
                <c:ptCount val="0"/>
              </c:strCache>
            </c:strRef>
          </c:cat>
          <c:val>
            <c:numRef>
              <c:f>'新老对比'!$K$19:$K$26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新集群 Top 10 表磁盘容量（TiB，双副本）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磁盘容量（TiB）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'新集群汇总'!$B$23:$B$32</c:f>
              <c:strCache>
                <c:ptCount val="0"/>
              </c:strCache>
            </c:strRef>
          </c:cat>
          <c:val>
            <c:numRef>
              <c:f>'新集群汇总'!$C$23:$C$32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7c80077ca54b9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19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6d5f5dde4143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ClusterTableComparison" displayName="ClusterTableComparison" ref="A4:V71" headerRowCount="1" totalsRowCount="0" totalsRowShown="0">
  <x:autoFilter ref="A4:V71"/>
  <x:tableColumns count="22">
    <x:tableColumn id="1" name="差异排名"/>
    <x:tableColumn id="2" name="表名"/>
    <x:tableColumn id="3" name="存在状态"/>
    <x:tableColumn id="4" name="老容量级别"/>
    <x:tableColumn id="5" name="新容量级别"/>
    <x:tableColumn id="6" name="老总行数"/>
    <x:tableColumn id="7" name="新总行数"/>
    <x:tableColumn id="8" name="行数差"/>
    <x:tableColumn id="9" name="行数变化率"/>
    <x:tableColumn id="10" name="老磁盘字节"/>
    <x:tableColumn id="11" name="新磁盘字节"/>
    <x:tableColumn id="12" name="老磁盘TiB"/>
    <x:tableColumn id="13" name="新磁盘TiB"/>
    <x:tableColumn id="14" name="磁盘差TiB"/>
    <x:tableColumn id="15" name="磁盘变化率"/>
    <x:tableColumn id="16" name="老原始字节"/>
    <x:tableColumn id="17" name="新原始字节"/>
    <x:tableColumn id="18" name="老压缩比"/>
    <x:tableColumn id="19" name="新压缩比"/>
    <x:tableColumn id="20" name="压缩比差"/>
    <x:tableColumn id="21" name="老磁盘B/行"/>
    <x:tableColumn id="22" name="新磁盘B/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LargeTables" displayName="NewLargeTables" ref="A4:G27" headerRowCount="1" totalsRowCount="0" totalsRowShown="0">
  <x:tableColumns count="7">
    <x:tableColumn id="1" name="容量级别"/>
    <x:tableColumn id="2" name="容量排名"/>
    <x:tableColumn id="3" name="表名"/>
    <x:tableColumn id="4" name="总行数"/>
    <x:tableColumn id="5" name="磁盘容量（TiB）"/>
    <x:tableColumn id="6" name="容量占比"/>
    <x:tableColumn id="7" name="压缩比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NewSmallTables" displayName="NewSmallTables" ref="I4:O37" headerRowCount="1" totalsRowCount="0" totalsRowShown="0">
  <x:tableColumns count="7">
    <x:tableColumn id="1" name="容量级别"/>
    <x:tableColumn id="2" name="容量排名"/>
    <x:tableColumn id="3" name="表名"/>
    <x:tableColumn id="4" name="总行数"/>
    <x:tableColumn id="5" name="磁盘容量（TiB）"/>
    <x:tableColumn id="6" name="容量占比"/>
    <x:tableColumn id="7" name="压缩比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1" name="NewClusterDetail" displayName="NewClusterDetail" ref="A4:P63" headerRowCount="1" totalsRowCount="0" totalsRowShown="0">
  <x:autoFilter ref="A4:P63"/>
  <x:tableColumns count="16">
    <x:tableColumn id="1" name="容量排名"/>
    <x:tableColumn id="2" name="表名"/>
    <x:tableColumn id="3" name="容量级别"/>
    <x:tableColumn id="4" name="行数级别"/>
    <x:tableColumn id="5" name="总行数"/>
    <x:tableColumn id="6" name="行数（亿）"/>
    <x:tableColumn id="7" name="原始字节数"/>
    <x:tableColumn id="8" name="磁盘字节数（双副本）"/>
    <x:tableColumn id="9" name="磁盘容量（TiB）"/>
    <x:tableColumn id="10" name="容量占比"/>
    <x:tableColumn id="11" name="累计容量占比"/>
    <x:tableColumn id="12" name="原始数据量（TiB）"/>
    <x:tableColumn id="13" name="原始B/行"/>
    <x:tableColumn id="14" name="磁盘B/行"/>
    <x:tableColumn id="15" name="压缩比"/>
    <x:tableColumn id="16" name="原容量文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3ee4ca81ee4f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2690d566b840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cfe79d365104a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ce0589904f441e5" /><Relationship Type="http://schemas.openxmlformats.org/officeDocument/2006/relationships/table" Target="/xl/tables/table3.xml" Id="R5eef415cf8d544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cba818660549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  <x:col min="8" max="8" width="9" hidden="0" customWidth="1"/>
    <x:col min="9" max="9" width="3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9" t="str">
        <x:v>新老集群 business 数据量整体对比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1"/>
    </x:row>
    <x:row r="2" ht="30" customHeight="1">
      <x:c r="A2" s="15" t="str">
        <x:v>两份文件均为双副本容量快照；本页是横向对比，不据此推断迁移完成度或统计时间先后。缺失表按“仅新/仅老”单独展示。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4" ht="24" customHeight="1">
      <x:c r="A4" s="202" t="str">
        <x:v>总体指标对比</x:v>
      </x:c>
      <x:c r="B4" s="203"/>
      <x:c r="C4" s="203"/>
      <x:c r="D4" s="203"/>
      <x:c r="E4" s="204"/>
    </x:row>
    <x:row r="5">
      <x:c r="A5" s="26" t="str">
        <x:v>指标</x:v>
      </x:c>
      <x:c r="B5" s="27" t="str">
        <x:v>老集群</x:v>
      </x:c>
      <x:c r="C5" s="27" t="str">
        <x:v>新集群</x:v>
      </x:c>
      <x:c r="D5" s="27" t="str">
        <x:v>新-老</x:v>
      </x:c>
      <x:c r="E5" s="28" t="str">
        <x:v>变化率</x:v>
      </x:c>
    </x:row>
    <x:row r="6">
      <x:c r="A6" s="274" t="str">
        <x:v>表数量</x:v>
      </x:c>
      <x:c r="B6" s="277" t="n">
        <x:f>COUNT('表级对比'!$F$5:$F$71)</x:f>
        <x:v>66</x:v>
      </x:c>
      <x:c r="C6" s="277" t="n">
        <x:f>COUNT('表级对比'!$G$5:$G$71)</x:f>
        <x:v>59</x:v>
      </x:c>
      <x:c r="D6" s="277" t="n">
        <x:f>C6-B6</x:f>
        <x:v>-7</x:v>
      </x:c>
      <x:c r="E6" s="235" t="n">
        <x:f>IF(B6=0,"",D6/B6)</x:f>
        <x:v>-0.10606060606060606</x:v>
      </x:c>
    </x:row>
    <x:row r="7">
      <x:c r="A7" s="275" t="str">
        <x:v>总行数（万亿）</x:v>
      </x:c>
      <x:c r="B7" s="233" t="n">
        <x:f>SUM('表级对比'!$F$5:$F$71)/1000000000000</x:f>
        <x:v>2.269554335087</x:v>
      </x:c>
      <x:c r="C7" s="233" t="n">
        <x:f>SUM('表级对比'!$G$5:$G$71)/1000000000000</x:f>
        <x:v>1.342096935757</x:v>
      </x:c>
      <x:c r="D7" s="233" t="n">
        <x:f>C7-B7</x:f>
        <x:v>-0.9274573993300002</x:v>
      </x:c>
      <x:c r="E7" s="236" t="n">
        <x:f>IF(B7=0,"",D7/B7)</x:f>
        <x:v>-0.40865177140359027</x:v>
      </x:c>
    </x:row>
    <x:row r="8">
      <x:c r="A8" s="275" t="str">
        <x:v>双副本磁盘（TiB）</x:v>
      </x:c>
      <x:c r="B8" s="233" t="n">
        <x:f>SUM('表级对比'!$L$5:$L$71)</x:f>
        <x:v>276.89875751394993</x:v>
      </x:c>
      <x:c r="C8" s="233" t="n">
        <x:f>SUM('表级对比'!$M$5:$M$71)</x:f>
        <x:v>179.70620402092936</x:v>
      </x:c>
      <x:c r="D8" s="233" t="n">
        <x:f>C8-B8</x:f>
        <x:v>-97.19255349302057</x:v>
      </x:c>
      <x:c r="E8" s="236" t="n">
        <x:f>IF(B8=0,"",D8/B8)</x:f>
        <x:v>-0.35100393503255095</x:v>
      </x:c>
    </x:row>
    <x:row r="9">
      <x:c r="A9" s="275" t="str">
        <x:v>单副本估算（TiB）</x:v>
      </x:c>
      <x:c r="B9" s="233" t="n">
        <x:f>B8/2</x:f>
        <x:v>138.44937875697497</x:v>
      </x:c>
      <x:c r="C9" s="233" t="n">
        <x:f>C8/2</x:f>
        <x:v>89.85310201046468</x:v>
      </x:c>
      <x:c r="D9" s="233" t="n">
        <x:f>C9-B9</x:f>
        <x:v>-48.596276746510284</x:v>
      </x:c>
      <x:c r="E9" s="236" t="n">
        <x:f>IF(B9=0,"",D9/B9)</x:f>
        <x:v>-0.35100393503255095</x:v>
      </x:c>
    </x:row>
    <x:row r="10">
      <x:c r="A10" s="275" t="str">
        <x:v>原始数据（TiB）</x:v>
      </x:c>
      <x:c r="B10" s="233" t="n">
        <x:f>SUM('表级对比'!$P$5:$P$71)/1099511627776</x:f>
        <x:v>3843.4633036757077</x:v>
      </x:c>
      <x:c r="C10" s="233" t="n">
        <x:f>SUM('表级对比'!$Q$5:$Q$71)/1099511627776</x:f>
        <x:v>2242.7415723603535</x:v>
      </x:c>
      <x:c r="D10" s="233" t="n">
        <x:f>C10-B10</x:f>
        <x:v>-1600.7217313153542</x:v>
      </x:c>
      <x:c r="E10" s="236" t="n">
        <x:f>IF(B10=0,"",D10/B10)</x:f>
        <x:v>-0.4164789942925952</x:v>
      </x:c>
    </x:row>
    <x:row r="11">
      <x:c r="A11" s="275" t="str">
        <x:v>加权压缩比</x:v>
      </x:c>
      <x:c r="B11" s="239" t="n">
        <x:f>SUM('表级对比'!$P$5:$P$71)/SUM('表级对比'!$J$5:$J$71)</x:f>
        <x:v>13.880392018306825</x:v>
      </x:c>
      <x:c r="C11" s="239" t="n">
        <x:f>SUM('表级对比'!$Q$5:$Q$71)/SUM('表级对比'!$K$5:$K$71)</x:f>
        <x:v>12.480045330539363</x:v>
      </x:c>
      <x:c r="D11" s="239" t="n">
        <x:f>C11-B11</x:f>
        <x:v>-1.4003466877674615</x:v>
      </x:c>
      <x:c r="E11" s="236" t="n">
        <x:f>IF(B11=0,"",D11/B11)</x:f>
        <x:v>-0.10088668143670199</x:v>
      </x:c>
    </x:row>
    <x:row r="12">
      <x:c r="A12" s="275" t="str">
        <x:v>单表中位数（GiB）</x:v>
      </x:c>
      <x:c r="B12" s="233" t="n">
        <x:f>MEDIAN('表级对比'!$L$5:$L$71)*1024</x:f>
        <x:v>16.94321921421215</x:v>
      </x:c>
      <x:c r="C12" s="233" t="n">
        <x:f>MEDIAN('表级对比'!$M$5:$M$71)*1024</x:f>
        <x:v>3.170239742845297</x:v>
      </x:c>
      <x:c r="D12" s="233" t="n">
        <x:f>C12-B12</x:f>
        <x:v>-13.772979471366853</x:v>
      </x:c>
      <x:c r="E12" s="236" t="n">
        <x:f>IF(B12=0,"",D12/B12)</x:f>
        <x:v>-0.8128903543792866</x:v>
      </x:c>
    </x:row>
    <x:row r="13">
      <x:c r="A13" s="276" t="str">
        <x:v>最大表容量占比</x:v>
      </x:c>
      <x:c r="B13" s="237" t="n">
        <x:f>MAX('表级对比'!$L$5:$L$71)/SUM('表级对比'!$L$5:$L$71)</x:f>
        <x:v>0.4844687848036526</x:v>
      </x:c>
      <x:c r="C13" s="237" t="n">
        <x:f>MAX('表级对比'!$M$5:$M$71)/SUM('表级对比'!$M$5:$M$71)</x:f>
        <x:v>0.36764995279363316</x:v>
      </x:c>
      <x:c r="D13" s="237" t="n">
        <x:f>C13-B13</x:f>
        <x:v>-0.11681883201001941</x:v>
      </x:c>
      <x:c r="E13" s="237" t="n">
        <x:f>IF(B13=0,"",D13/B13)</x:f>
        <x:v>-0.2411276756610113</x:v>
      </x:c>
    </x:row>
    <x:row r="17" ht="24" customHeight="1">
      <x:c r="A17" s="202" t="str">
        <x:v>容量级别对比</x:v>
      </x:c>
      <x:c r="B17" s="203"/>
      <x:c r="C17" s="203"/>
      <x:c r="D17" s="203"/>
      <x:c r="E17" s="203"/>
      <x:c r="F17" s="203"/>
      <x:c r="G17" s="204"/>
    </x:row>
    <x:row r="18" ht="34" customHeight="1">
      <x:c r="A18" s="26" t="str">
        <x:v>类别</x:v>
      </x:c>
      <x:c r="B18" s="27" t="str">
        <x:v>下限GiB</x:v>
      </x:c>
      <x:c r="C18" s="27" t="str">
        <x:v>老表数</x:v>
      </x:c>
      <x:c r="D18" s="27" t="str">
        <x:v>新表数</x:v>
      </x:c>
      <x:c r="E18" s="27" t="str">
        <x:v>老容量TiB</x:v>
      </x:c>
      <x:c r="F18" s="27" t="str">
        <x:v>新容量TiB</x:v>
      </x:c>
      <x:c r="G18" s="28" t="str">
        <x:v>容量差TiB</x:v>
      </x:c>
      <x:c r="H18" s="26" t="str">
        <x:v>排名</x:v>
      </x:c>
      <x:c r="I18" s="27" t="str">
        <x:v>表名</x:v>
      </x:c>
      <x:c r="J18" s="27" t="str">
        <x:v>老集群TiB</x:v>
      </x:c>
      <x:c r="K18" s="28" t="str">
        <x:v>新集群TiB</x:v>
      </x:c>
    </x:row>
    <x:row r="19">
      <x:c r="A19" s="229" t="str">
        <x:v>超大表</x:v>
      </x:c>
      <x:c r="B19" s="253" t="n">
        <x:v>1024</x:v>
      </x:c>
      <x:c r="C19" s="277" t="n">
        <x:f>COUNTIF('表级对比'!$D$5:$D$71,A19)</x:f>
        <x:v>12</x:v>
      </x:c>
      <x:c r="D19" s="277" t="n">
        <x:f>COUNTIF('表级对比'!$E$5:$E$71,A19)</x:f>
        <x:v>11</x:v>
      </x:c>
      <x:c r="E19" s="256" t="n">
        <x:f>SUMIF('表级对比'!$D$5:$D$71,A19,'表级对比'!$L$5:$L$71)</x:f>
        <x:v>273.8286284602709</x:v>
      </x:c>
      <x:c r="F19" s="256" t="n">
        <x:f>SUMIF('表级对比'!$E$5:$E$71,A19,'表级对比'!$M$5:$M$71)</x:f>
        <x:v>175.57702296508705</x:v>
      </x:c>
      <x:c r="G19" s="256" t="n">
        <x:f>F19-E19</x:f>
        <x:v>-98.25160549518387</x:v>
      </x:c>
      <x:c r="H19" t="n">
        <x:v>1</x:v>
      </x:c>
      <x:c r="I19" t="str">
        <x:f>'表级对比'!B5</x:f>
        <x:v>network_security_log_local</x:v>
      </x:c>
      <x:c r="J19" s="278" t="n">
        <x:f>'表级对比'!L5</x:f>
        <x:v>134.1488045664246</x:v>
      </x:c>
      <x:c r="K19" s="278" t="n">
        <x:f>'表级对比'!M5</x:f>
        <x:v>66.06897742501769</x:v>
      </x:c>
    </x:row>
    <x:row r="20">
      <x:c r="A20" s="230" t="str">
        <x:v>大表</x:v>
      </x:c>
      <x:c r="B20" s="254" t="n">
        <x:v>100</x:v>
      </x:c>
      <x:c r="C20" s="279" t="n">
        <x:f>COUNTIF('表级对比'!$D$5:$D$71,A20)</x:f>
        <x:v>10</x:v>
      </x:c>
      <x:c r="D20" s="279" t="n">
        <x:f>COUNTIF('表级对比'!$E$5:$E$71,A20)</x:f>
        <x:v>12</x:v>
      </x:c>
      <x:c r="E20" s="257" t="n">
        <x:f>SUMIF('表级对比'!$D$5:$D$71,A20,'表级对比'!$L$5:$L$71)</x:f>
        <x:v>2.476985034725658</x:v>
      </x:c>
      <x:c r="F20" s="257" t="n">
        <x:f>SUMIF('表级对比'!$E$5:$E$71,A20,'表级对比'!$M$5:$M$71)</x:f>
        <x:v>3.9890742392017273</x:v>
      </x:c>
      <x:c r="G20" s="257" t="n">
        <x:f>F20-E20</x:f>
        <x:v>1.5120892044760694</x:v>
      </x:c>
      <x:c r="H20" t="n">
        <x:v>2</x:v>
      </x:c>
      <x:c r="I20" t="str">
        <x:f>'表级对比'!B6</x:f>
        <x:v>http_log_local</x:v>
      </x:c>
      <x:c r="J20" s="278" t="n">
        <x:f>'表级对比'!L6</x:f>
        <x:v>69.10186209280346</x:v>
      </x:c>
      <x:c r="K20" s="278" t="n">
        <x:f>'表级对比'!M6</x:f>
        <x:v>59.98859311475826</x:v>
      </x:c>
    </x:row>
    <x:row r="21">
      <x:c r="A21" s="230" t="str">
        <x:v>中表</x:v>
      </x:c>
      <x:c r="B21" s="254" t="n">
        <x:v>10</x:v>
      </x:c>
      <x:c r="C21" s="279" t="n">
        <x:f>COUNTIF('表级对比'!$D$5:$D$71,A21)</x:f>
        <x:v>12</x:v>
      </x:c>
      <x:c r="D21" s="279" t="n">
        <x:f>COUNTIF('表级对比'!$E$5:$E$71,A21)</x:f>
        <x:v>3</x:v>
      </x:c>
      <x:c r="E21" s="257" t="n">
        <x:f>SUMIF('表级对比'!$D$5:$D$71,A21,'表级对比'!$L$5:$L$71)</x:f>
        <x:v>0.5409788707247571</x:v>
      </x:c>
      <x:c r="F21" s="257" t="n">
        <x:f>SUMIF('表级对比'!$E$5:$E$71,A21,'表级对比'!$M$5:$M$71)</x:f>
        <x:v>0.10357413436940988</x:v>
      </x:c>
      <x:c r="G21" s="257" t="n">
        <x:f>F21-E21</x:f>
        <x:v>-0.43740473635534727</x:v>
      </x:c>
      <x:c r="H21" t="n">
        <x:v>3</x:v>
      </x:c>
      <x:c r="I21" t="str">
        <x:f>'表级对比'!B8</x:f>
        <x:v>ssl_tls_log_local</x:v>
      </x:c>
      <x:c r="J21" s="278" t="n">
        <x:f>'表级对比'!L8</x:f>
        <x:v>22.03879312657864</x:v>
      </x:c>
      <x:c r="K21" s="278" t="n">
        <x:f>'表级对比'!M8</x:f>
        <x:v>15.518645351311534</x:v>
      </x:c>
    </x:row>
    <x:row r="22">
      <x:c r="A22" s="231" t="str">
        <x:v>小表</x:v>
      </x:c>
      <x:c r="B22" s="255" t="n">
        <x:v>0</x:v>
      </x:c>
      <x:c r="C22" s="280" t="n">
        <x:f>COUNTIF('表级对比'!$D$5:$D$71,A22)</x:f>
        <x:v>32</x:v>
      </x:c>
      <x:c r="D22" s="280" t="n">
        <x:f>COUNTIF('表级对比'!$E$5:$E$71,A22)</x:f>
        <x:v>33</x:v>
      </x:c>
      <x:c r="E22" s="258" t="n">
        <x:f>SUMIF('表级对比'!$D$5:$D$71,A22,'表级对比'!$L$5:$L$71)</x:f>
        <x:v>0.05216514822859608</x:v>
      </x:c>
      <x:c r="F22" s="258" t="n">
        <x:f>SUMIF('表级对比'!$E$5:$E$71,A22,'表级对比'!$M$5:$M$71)</x:f>
        <x:v>0.036532682271172234</x:v>
      </x:c>
      <x:c r="G22" s="258" t="n">
        <x:f>F22-E22</x:f>
        <x:v>-0.015632465957423847</x:v>
      </x:c>
      <x:c r="H22" t="n">
        <x:v>4</x:v>
      </x:c>
      <x:c r="I22" t="str">
        <x:f>'表级对比'!B9</x:f>
        <x:v>tcp_log_local</x:v>
      </x:c>
      <x:c r="J22" s="278" t="n">
        <x:f>'表级对比'!L9</x:f>
        <x:v>15.954821199052276</x:v>
      </x:c>
      <x:c r="K22" s="278" t="n">
        <x:f>'表级对比'!M9</x:f>
        <x:v>12.273316622318816</x:v>
      </x:c>
    </x:row>
    <x:row r="23">
      <x:c r="H23" t="n">
        <x:v>5</x:v>
      </x:c>
      <x:c r="I23" t="str">
        <x:f>'表级对比'!B7</x:f>
        <x:v>dns_log_local</x:v>
      </x:c>
      <x:c r="J23" s="278" t="n">
        <x:f>'表级对比'!L7</x:f>
        <x:v>15.264436280157497</x:v>
      </x:c>
      <x:c r="K23" s="278" t="n">
        <x:f>'表级对比'!M7</x:f>
        <x:v>8.177807585342634</x:v>
      </x:c>
    </x:row>
    <x:row r="24">
      <x:c r="H24" t="n">
        <x:v>6</x:v>
      </x:c>
      <x:c r="I24" t="str">
        <x:f>'表级对比'!B12</x:f>
        <x:v>acl_log_local</x:v>
      </x:c>
      <x:c r="J24" s="278" t="n">
        <x:f>'表级对比'!L12</x:f>
        <x:v>6.251083732563529</x:v>
      </x:c>
      <x:c r="K24" s="278" t="n">
        <x:f>'表级对比'!M12</x:f>
        <x:v>4.822222746982334</x:v>
      </x:c>
    </x:row>
    <x:row r="25" ht="24" customHeight="1">
      <x:c r="A25" s="202" t="str">
        <x:v>表存在状态</x:v>
      </x:c>
      <x:c r="B25" s="203"/>
      <x:c r="C25" s="203"/>
      <x:c r="D25" s="203"/>
      <x:c r="E25" s="204"/>
      <x:c r="H25" t="n">
        <x:v>7</x:v>
      </x:c>
      <x:c r="I25" t="str">
        <x:f>'表级对比'!B11</x:f>
        <x:v>parse_status_log_local</x:v>
      </x:c>
      <x:c r="J25" s="278" t="n">
        <x:f>'表级对比'!L11</x:f>
        <x:v>2.032007328241889</x:v>
      </x:c>
      <x:c r="K25" s="278" t="n">
        <x:f>'表级对比'!M11</x:f>
        <x:v>3.746587048070978</x:v>
      </x:c>
    </x:row>
    <x:row r="26">
      <x:c r="A26" s="26" t="str">
        <x:v>状态</x:v>
      </x:c>
      <x:c r="B26" s="27" t="str">
        <x:v>表数</x:v>
      </x:c>
      <x:c r="C26" s="27" t="str">
        <x:v>老容量TiB</x:v>
      </x:c>
      <x:c r="D26" s="27" t="str">
        <x:v>新容量TiB</x:v>
      </x:c>
      <x:c r="E26" s="28" t="str">
        <x:v>净差TiB</x:v>
      </x:c>
      <x:c r="H26" t="n">
        <x:v>8</x:v>
      </x:c>
      <x:c r="I26" t="str">
        <x:f>'表级对比'!B10</x:f>
        <x:v>smb_log_local</x:v>
      </x:c>
      <x:c r="J26" s="278" t="n">
        <x:f>'表级对比'!L10</x:f>
        <x:v>2.3134246790259567</x:v>
      </x:c>
      <x:c r="K26" s="278" t="n">
        <x:f>'表级对比'!M10</x:f>
        <x:v>0.5518492703668016</x:v>
      </x:c>
    </x:row>
    <x:row r="27">
      <x:c r="A27" s="229" t="str">
        <x:v>两边都有</x:v>
      </x:c>
      <x:c r="B27" s="229" t="n">
        <x:f>COUNTIF('表级对比'!$C$5:$C$71,A27)</x:f>
        <x:v>58</x:v>
      </x:c>
      <x:c r="C27" s="256" t="n">
        <x:f>SUMIF('表级对比'!$C$5:$C$71,A27,'表级对比'!$L$5:$L$71)</x:f>
        <x:v>276.7209679886946</x:v>
      </x:c>
      <x:c r="D27" s="256" t="n">
        <x:f>SUMIF('表级对比'!$C$5:$C$71,A27,'表级对比'!$M$5:$M$71)</x:f>
        <x:v>179.70620402064196</x:v>
      </x:c>
      <x:c r="E27" s="256" t="n">
        <x:f>D27-C27</x:f>
        <x:v>-97.01476396805265</x:v>
      </x:c>
    </x:row>
    <x:row r="28">
      <x:c r="A28" s="230" t="str">
        <x:v>仅新集群</x:v>
      </x:c>
      <x:c r="B28" s="230" t="n">
        <x:f>COUNTIF('表级对比'!$C$5:$C$71,A28)</x:f>
        <x:v>1</x:v>
      </x:c>
      <x:c r="C28" s="257" t="n">
        <x:f>SUMIF('表级对比'!$C$5:$C$71,A28,'表级对比'!$L$5:$L$71)</x:f>
        <x:v>0</x:v>
      </x:c>
      <x:c r="D28" s="257" t="n">
        <x:f>SUMIF('表级对比'!$C$5:$C$71,A28,'表级对比'!$M$5:$M$71)</x:f>
        <x:v>2.874003257602453e-10</x:v>
      </x:c>
      <x:c r="E28" s="257" t="n">
        <x:f>D28-C28</x:f>
        <x:v>2.874003257602453e-10</x:v>
      </x:c>
    </x:row>
    <x:row r="29">
      <x:c r="A29" s="231" t="str">
        <x:v>仅老集群</x:v>
      </x:c>
      <x:c r="B29" s="231" t="n">
        <x:f>COUNTIF('表级对比'!$C$5:$C$71,A29)</x:f>
        <x:v>8</x:v>
      </x:c>
      <x:c r="C29" s="258" t="n">
        <x:f>SUMIF('表级对比'!$C$5:$C$71,A29,'表级对比'!$L$5:$L$71)</x:f>
        <x:v>0.17778952525532077</x:v>
      </x:c>
      <x:c r="D29" s="258" t="n">
        <x:f>SUMIF('表级对比'!$C$5:$C$71,A29,'表级对比'!$M$5:$M$71)</x:f>
        <x:v>0</x:v>
      </x:c>
      <x:c r="E29" s="258" t="n">
        <x:f>D29-C29</x:f>
        <x:v>-0.17778952525532077</x:v>
      </x:c>
    </x:row>
    <x:row r="32" ht="24" customHeight="1">
      <x:c r="A32" s="202" t="str">
        <x:v>容量下降最多的表</x:v>
      </x:c>
      <x:c r="B32" s="203"/>
      <x:c r="C32" s="203"/>
      <x:c r="D32" s="203"/>
      <x:c r="E32" s="203"/>
      <x:c r="F32" s="204"/>
      <x:c r="H32" s="202" t="str">
        <x:v>容量上升最多的表</x:v>
      </x:c>
      <x:c r="I32" s="203"/>
      <x:c r="J32" s="203"/>
      <x:c r="K32" s="203"/>
      <x:c r="L32" s="203"/>
      <x:c r="M32" s="204"/>
    </x:row>
    <x:row r="33">
      <x:c r="A33" s="26" t="str">
        <x:v>排名</x:v>
      </x:c>
      <x:c r="B33" s="27" t="str">
        <x:v>表名</x:v>
      </x:c>
      <x:c r="C33" s="27" t="str">
        <x:v>状态</x:v>
      </x:c>
      <x:c r="D33" s="27" t="str">
        <x:v>老TiB</x:v>
      </x:c>
      <x:c r="E33" s="27" t="str">
        <x:v>新TiB</x:v>
      </x:c>
      <x:c r="F33" s="28" t="str">
        <x:v>差值TiB</x:v>
      </x:c>
      <x:c r="H33" s="26" t="str">
        <x:v>排名</x:v>
      </x:c>
      <x:c r="I33" s="27" t="str">
        <x:v>表名</x:v>
      </x:c>
      <x:c r="J33" s="27" t="str">
        <x:v>状态</x:v>
      </x:c>
      <x:c r="K33" s="27" t="str">
        <x:v>老TiB</x:v>
      </x:c>
      <x:c r="L33" s="27" t="str">
        <x:v>新TiB</x:v>
      </x:c>
      <x:c r="M33" s="28" t="str">
        <x:v>差值TiB</x:v>
      </x:c>
    </x:row>
    <x:row r="34">
      <x:c r="A34" s="229" t="n">
        <x:v>1</x:v>
      </x:c>
      <x:c r="B34" s="229" t="str">
        <x:f>'表级对比'!B5</x:f>
        <x:v>network_security_log_local</x:v>
      </x:c>
      <x:c r="C34" s="229" t="str">
        <x:f>'表级对比'!C5</x:f>
        <x:v>两边都有</x:v>
      </x:c>
      <x:c r="D34" s="256" t="n">
        <x:f>'表级对比'!L5</x:f>
        <x:v>134.1488045664246</x:v>
      </x:c>
      <x:c r="E34" s="256" t="n">
        <x:f>'表级对比'!M5</x:f>
        <x:v>66.06897742501769</x:v>
      </x:c>
      <x:c r="F34" s="256" t="n">
        <x:f>'表级对比'!N5</x:f>
        <x:v>-68.0798271414069</x:v>
      </x:c>
      <x:c r="H34" s="229" t="n">
        <x:v>1</x:v>
      </x:c>
      <x:c r="I34" s="229" t="str">
        <x:f>'表级对比'!B11</x:f>
        <x:v>parse_status_log_local</x:v>
      </x:c>
      <x:c r="J34" s="229" t="str">
        <x:f>'表级对比'!C11</x:f>
        <x:v>两边都有</x:v>
      </x:c>
      <x:c r="K34" s="256" t="n">
        <x:f>'表级对比'!L11</x:f>
        <x:v>2.032007328241889</x:v>
      </x:c>
      <x:c r="L34" s="256" t="n">
        <x:f>'表级对比'!M11</x:f>
        <x:v>3.746587048070978</x:v>
      </x:c>
      <x:c r="M34" s="256" t="n">
        <x:f>'表级对比'!N11</x:f>
        <x:v>1.7145797198290893</x:v>
      </x:c>
    </x:row>
    <x:row r="35">
      <x:c r="A35" s="230" t="n">
        <x:v>2</x:v>
      </x:c>
      <x:c r="B35" s="230" t="str">
        <x:f>'表级对比'!B6</x:f>
        <x:v>http_log_local</x:v>
      </x:c>
      <x:c r="C35" s="230" t="str">
        <x:f>'表级对比'!C6</x:f>
        <x:v>两边都有</x:v>
      </x:c>
      <x:c r="D35" s="257" t="n">
        <x:f>'表级对比'!L6</x:f>
        <x:v>69.10186209280346</x:v>
      </x:c>
      <x:c r="E35" s="257" t="n">
        <x:f>'表级对比'!M6</x:f>
        <x:v>59.98859311475826</x:v>
      </x:c>
      <x:c r="F35" s="257" t="n">
        <x:f>'表级对比'!N6</x:f>
        <x:v>-9.113268978045198</x:v>
      </x:c>
      <x:c r="H35" s="230" t="n">
        <x:v>2</x:v>
      </x:c>
      <x:c r="I35" s="230" t="str">
        <x:f>'表级对比'!B13</x:f>
        <x:v>operation_log_local</x:v>
      </x:c>
      <x:c r="J35" s="230" t="str">
        <x:f>'表级对比'!C13</x:f>
        <x:v>两边都有</x:v>
      </x:c>
      <x:c r="K35" s="257" t="n">
        <x:f>'表级对比'!L13</x:f>
        <x:v>0.10620048845885321</x:v>
      </x:c>
      <x:c r="L35" s="257" t="n">
        <x:f>'表级对比'!M13</x:f>
        <x:v>1.4492157974782458</x:v>
      </x:c>
      <x:c r="M35" s="257" t="n">
        <x:f>'表级对比'!N13</x:f>
        <x:v>1.3430153090193926</x:v>
      </x:c>
    </x:row>
    <x:row r="36">
      <x:c r="A36" s="230" t="n">
        <x:v>3</x:v>
      </x:c>
      <x:c r="B36" s="230" t="str">
        <x:f>'表级对比'!B7</x:f>
        <x:v>dns_log_local</x:v>
      </x:c>
      <x:c r="C36" s="230" t="str">
        <x:f>'表级对比'!C7</x:f>
        <x:v>两边都有</x:v>
      </x:c>
      <x:c r="D36" s="257" t="n">
        <x:f>'表级对比'!L7</x:f>
        <x:v>15.264436280157497</x:v>
      </x:c>
      <x:c r="E36" s="257" t="n">
        <x:f>'表级对比'!M7</x:f>
        <x:v>8.177807585342634</x:v>
      </x:c>
      <x:c r="F36" s="257" t="n">
        <x:f>'表级对比'!N7</x:f>
        <x:v>-7.086628694814863</x:v>
      </x:c>
      <x:c r="H36" s="230" t="n">
        <x:v>3</x:v>
      </x:c>
      <x:c r="I36" s="230" t="str">
        <x:f>'表级对比'!B15</x:f>
        <x:v>endpoint_telemetry_behavior_log_local</x:v>
      </x:c>
      <x:c r="J36" s="230" t="str">
        <x:f>'表级对比'!C15</x:f>
        <x:v>两边都有</x:v>
      </x:c>
      <x:c r="K36" s="257" t="n">
        <x:f>'表级对比'!L15</x:f>
        <x:v>0.1740055657355697</x:v>
      </x:c>
      <x:c r="L36" s="257" t="n">
        <x:f>'表级对比'!M15</x:f>
        <x:v>1.0222511363235753</x:v>
      </x:c>
      <x:c r="M36" s="257" t="n">
        <x:f>'表级对比'!N15</x:f>
        <x:v>0.8482455705880056</x:v>
      </x:c>
    </x:row>
    <x:row r="37">
      <x:c r="A37" s="230" t="n">
        <x:v>4</x:v>
      </x:c>
      <x:c r="B37" s="230" t="str">
        <x:f>'表级对比'!B8</x:f>
        <x:v>ssl_tls_log_local</x:v>
      </x:c>
      <x:c r="C37" s="230" t="str">
        <x:f>'表级对比'!C8</x:f>
        <x:v>两边都有</x:v>
      </x:c>
      <x:c r="D37" s="257" t="n">
        <x:f>'表级对比'!L8</x:f>
        <x:v>22.03879312657864</x:v>
      </x:c>
      <x:c r="E37" s="257" t="n">
        <x:f>'表级对比'!M8</x:f>
        <x:v>15.518645351311534</x:v>
      </x:c>
      <x:c r="F37" s="257" t="n">
        <x:f>'表级对比'!N8</x:f>
        <x:v>-6.520147775267105</x:v>
      </x:c>
      <x:c r="H37" s="230" t="n">
        <x:v>4</x:v>
      </x:c>
      <x:c r="I37" s="230" t="str">
        <x:f>'表级对比'!B19</x:f>
        <x:v>endpoint_behavior_log_local</x:v>
      </x:c>
      <x:c r="J37" s="230" t="str">
        <x:f>'表级对比'!C19</x:f>
        <x:v>两边都有</x:v>
      </x:c>
      <x:c r="K37" s="257" t="n">
        <x:f>'表级对比'!L19</x:f>
        <x:v>0.33629068630034453</x:v>
      </x:c>
      <x:c r="L37" s="257" t="n">
        <x:f>'表级对比'!M19</x:f>
        <x:v>0.5663419589072873</x:v>
      </x:c>
      <x:c r="M37" s="257" t="n">
        <x:f>'表级对比'!N19</x:f>
        <x:v>0.2300512726069428</x:v>
      </x:c>
    </x:row>
    <x:row r="38">
      <x:c r="A38" s="230" t="n">
        <x:v>5</x:v>
      </x:c>
      <x:c r="B38" s="230" t="str">
        <x:f>'表级对比'!B9</x:f>
        <x:v>tcp_log_local</x:v>
      </x:c>
      <x:c r="C38" s="230" t="str">
        <x:f>'表级对比'!C9</x:f>
        <x:v>两边都有</x:v>
      </x:c>
      <x:c r="D38" s="257" t="n">
        <x:f>'表级对比'!L9</x:f>
        <x:v>15.954821199052276</x:v>
      </x:c>
      <x:c r="E38" s="257" t="n">
        <x:f>'表级对比'!M9</x:f>
        <x:v>12.273316622318816</x:v>
      </x:c>
      <x:c r="F38" s="257" t="n">
        <x:f>'表级对比'!N9</x:f>
        <x:v>-3.6815045767334595</x:v>
      </x:c>
      <x:c r="H38" s="230" t="n">
        <x:v>5</x:v>
      </x:c>
      <x:c r="I38" s="230" t="str">
        <x:f>'表级对比'!B22</x:f>
        <x:v>sql_server_log_local</x:v>
      </x:c>
      <x:c r="J38" s="230" t="str">
        <x:f>'表级对比'!C22</x:f>
        <x:v>两边都有</x:v>
      </x:c>
      <x:c r="K38" s="257" t="n">
        <x:f>'表级对比'!L22</x:f>
        <x:v>0.07770636077111703</x:v>
      </x:c>
      <x:c r="L38" s="257" t="n">
        <x:f>'表级对比'!M22</x:f>
        <x:v>0.17594653883679712</x:v>
      </x:c>
      <x:c r="M38" s="257" t="n">
        <x:f>'表级对比'!N22</x:f>
        <x:v>0.09824017806568008</x:v>
      </x:c>
    </x:row>
    <x:row r="39">
      <x:c r="A39" s="230" t="n">
        <x:v>6</x:v>
      </x:c>
      <x:c r="B39" s="230" t="str">
        <x:f>'表级对比'!B10</x:f>
        <x:v>smb_log_local</x:v>
      </x:c>
      <x:c r="C39" s="230" t="str">
        <x:f>'表级对比'!C10</x:f>
        <x:v>两边都有</x:v>
      </x:c>
      <x:c r="D39" s="257" t="n">
        <x:f>'表级对比'!L10</x:f>
        <x:v>2.3134246790259567</x:v>
      </x:c>
      <x:c r="E39" s="257" t="n">
        <x:f>'表级对比'!M10</x:f>
        <x:v>0.5518492703668016</x:v>
      </x:c>
      <x:c r="F39" s="257" t="n">
        <x:f>'表级对比'!N10</x:f>
        <x:v>-1.761575408659155</x:v>
      </x:c>
      <x:c r="H39" s="230" t="n">
        <x:v>6</x:v>
      </x:c>
      <x:c r="I39" s="230" t="str">
        <x:f>'表级对比'!B23</x:f>
        <x:v>sip_log_local</x:v>
      </x:c>
      <x:c r="J39" s="230" t="str">
        <x:f>'表级对比'!C23</x:f>
        <x:v>两边都有</x:v>
      </x:c>
      <x:c r="K39" s="257" t="n">
        <x:f>'表级对比'!L23</x:f>
        <x:v>0.2611887347547963</x:v>
      </x:c>
      <x:c r="L39" s="257" t="n">
        <x:f>'表级对比'!M23</x:f>
        <x:v>0.3449153048986773</x:v>
      </x:c>
      <x:c r="M39" s="257" t="n">
        <x:f>'表级对比'!N23</x:f>
        <x:v>0.08372657014388096</x:v>
      </x:c>
    </x:row>
    <x:row r="40">
      <x:c r="A40" s="230" t="n">
        <x:v>7</x:v>
      </x:c>
      <x:c r="B40" s="230" t="str">
        <x:f>'表级对比'!B12</x:f>
        <x:v>acl_log_local</x:v>
      </x:c>
      <x:c r="C40" s="230" t="str">
        <x:f>'表级对比'!C12</x:f>
        <x:v>两边都有</x:v>
      </x:c>
      <x:c r="D40" s="257" t="n">
        <x:f>'表级对比'!L12</x:f>
        <x:v>6.251083732563529</x:v>
      </x:c>
      <x:c r="E40" s="257" t="n">
        <x:f>'表级对比'!M12</x:f>
        <x:v>4.822222746982334</x:v>
      </x:c>
      <x:c r="F40" s="257" t="n">
        <x:f>'表级对比'!N12</x:f>
        <x:v>-1.4288609855811956</x:v>
      </x:c>
      <x:c r="H40" s="230" t="n">
        <x:v>7</x:v>
      </x:c>
      <x:c r="I40" s="230" t="str">
        <x:f>'表级对比'!B34</x:f>
        <x:v>dhcp_log_local</x:v>
      </x:c>
      <x:c r="J40" s="230" t="str">
        <x:f>'表级对比'!C34</x:f>
        <x:v>两边都有</x:v>
      </x:c>
      <x:c r="K40" s="257" t="n">
        <x:f>'表级对比'!L34</x:f>
        <x:v>0.26999824358972546</x:v>
      </x:c>
      <x:c r="L40" s="257" t="n">
        <x:f>'表级对比'!M34</x:f>
        <x:v>0.2890531611501501</x:v>
      </x:c>
      <x:c r="M40" s="257" t="n">
        <x:f>'表级对比'!N34</x:f>
        <x:v>0.019054917560424656</x:v>
      </x:c>
    </x:row>
    <x:row r="41">
      <x:c r="A41" s="230" t="n">
        <x:v>8</x:v>
      </x:c>
      <x:c r="B41" s="230" t="str">
        <x:f>'表级对比'!B14</x:f>
        <x:v>asset_log_local</x:v>
      </x:c>
      <x:c r="C41" s="230" t="str">
        <x:f>'表级对比'!C14</x:f>
        <x:v>两边都有</x:v>
      </x:c>
      <x:c r="D41" s="257" t="n">
        <x:f>'表级对比'!L14</x:f>
        <x:v>1.7799797427778685</x:v>
      </x:c>
      <x:c r="E41" s="257" t="n">
        <x:f>'表级对比'!M14</x:f>
        <x:v>0.7813773528805541</x:v>
      </x:c>
      <x:c r="F41" s="257" t="n">
        <x:f>'表级对比'!N14</x:f>
        <x:v>-0.9986023898973144</x:v>
      </x:c>
      <x:c r="H41" s="230" t="n">
        <x:v>8</x:v>
      </x:c>
      <x:c r="I41" s="230" t="str">
        <x:f>'表级对比'!B43</x:f>
        <x:v>ssh_log_local</x:v>
      </x:c>
      <x:c r="J41" s="230" t="str">
        <x:f>'表级对比'!C43</x:f>
        <x:v>两边都有</x:v>
      </x:c>
      <x:c r="K41" s="257" t="n">
        <x:f>'表级对比'!L43</x:f>
        <x:v>0.007329059715630137</x:v>
      </x:c>
      <x:c r="L41" s="257" t="n">
        <x:f>'表级对比'!M43</x:f>
        <x:v>0.009288930788898142</x:v>
      </x:c>
      <x:c r="M41" s="257" t="n">
        <x:f>'表级对比'!N43</x:f>
        <x:v>0.0019598710732680047</x:v>
      </x:c>
    </x:row>
    <x:row r="42">
      <x:c r="A42" s="230" t="n">
        <x:v>9</x:v>
      </x:c>
      <x:c r="B42" s="230" t="str">
        <x:f>'表级对比'!B16</x:f>
        <x:v>icmp_log_local</x:v>
      </x:c>
      <x:c r="C42" s="230" t="str">
        <x:f>'表级对比'!C16</x:f>
        <x:v>两边都有</x:v>
      </x:c>
      <x:c r="D42" s="257" t="n">
        <x:f>'表级对比'!L16</x:f>
        <x:v>1.9293353755119824</x:v>
      </x:c>
      <x:c r="E42" s="257" t="n">
        <x:f>'表级对比'!M16</x:f>
        <x:v>1.0986147914654794</x:v>
      </x:c>
      <x:c r="F42" s="257" t="n">
        <x:f>'表级对比'!N16</x:f>
        <x:v>-0.8307205840465031</x:v>
      </x:c>
      <x:c r="H42" s="230" t="n">
        <x:v>9</x:v>
      </x:c>
      <x:c r="I42" s="230" t="str">
        <x:f>'表级对比'!B46</x:f>
        <x:v>datalake_platform_log_local</x:v>
      </x:c>
      <x:c r="J42" s="230" t="str">
        <x:f>'表级对比'!C46</x:f>
        <x:v>两边都有</x:v>
      </x:c>
      <x:c r="K42" s="257" t="n">
        <x:f>'表级对比'!L46</x:f>
        <x:v>0.002602846137051529</x:v>
      </x:c>
      <x:c r="L42" s="257" t="n">
        <x:f>'表级对比'!M46</x:f>
        <x:v>0.0036902598667438724</x:v>
      </x:c>
      <x:c r="M42" s="257" t="n">
        <x:f>'表级对比'!N46</x:f>
        <x:v>0.0010874137296923436</x:v>
      </x:c>
    </x:row>
    <x:row r="43">
      <x:c r="A43" s="231" t="n">
        <x:v>10</x:v>
      </x:c>
      <x:c r="B43" s="231" t="str">
        <x:f>'表级对比'!B17</x:f>
        <x:v>snmp_log_local</x:v>
      </x:c>
      <x:c r="C43" s="231" t="str">
        <x:f>'表级对比'!C17</x:f>
        <x:v>两边都有</x:v>
      </x:c>
      <x:c r="D43" s="258" t="n">
        <x:f>'表级对比'!L17</x:f>
        <x:v>1.002233137897747</x:v>
      </x:c>
      <x:c r="E43" s="258" t="n">
        <x:f>'表级对比'!M17</x:f>
        <x:v>0.31385346317529184</x:v>
      </x:c>
      <x:c r="F43" s="258" t="n">
        <x:f>'表级对比'!N17</x:f>
        <x:v>-0.6883796747224551</x:v>
      </x:c>
      <x:c r="H43" s="231" t="n">
        <x:v>10</x:v>
      </x:c>
      <x:c r="I43" s="231" t="str">
        <x:f>'表级对比'!B49</x:f>
        <x:v>pop3_log_local</x:v>
      </x:c>
      <x:c r="J43" s="231" t="str">
        <x:f>'表级对比'!C49</x:f>
        <x:v>两边都有</x:v>
      </x:c>
      <x:c r="K43" s="258" t="n">
        <x:f>'表级对比'!L49</x:f>
        <x:v>0.0000041180583139066584</x:v>
      </x:c>
      <x:c r="L43" s="258" t="n">
        <x:f>'表级对比'!M49</x:f>
        <x:v>0.00048099003470269963</x:v>
      </x:c>
      <x:c r="M43" s="258" t="n">
        <x:f>'表级对比'!N49</x:f>
        <x:v>0.000476871976388793</x:v>
      </x:c>
    </x:row>
    <x:row r="46" ht="24" customHeight="1">
      <x:c r="A46" s="202" t="str">
        <x:v>对比结论</x:v>
      </x:c>
      <x:c r="B46" s="203"/>
      <x:c r="C46" s="203"/>
      <x:c r="D46" s="203"/>
      <x:c r="E46" s="203"/>
      <x:c r="F46" s="203"/>
      <x:c r="G46" s="203"/>
      <x:c r="H46" s="203"/>
      <x:c r="I46" s="203"/>
      <x:c r="J46" s="203"/>
      <x:c r="K46" s="203"/>
      <x:c r="L46" s="203"/>
      <x:c r="M46" s="203"/>
      <x:c r="N46" s="204"/>
    </x:row>
    <x:row r="47" ht="30" customHeight="1">
      <x:c r="A47" s="244" t="str">
        <x:v>1. 新集群双副本磁盘为 179.71 TiB，较老集群减少 97.19 TiB（-35.1%）。</x:v>
      </x:c>
      <x:c r="B47" s="244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</x:row>
    <x:row r="48" ht="30" customHeight="1">
      <x:c r="A48" s="248" t="str">
        <x:v>2. 新集群总行数较老集群减少 9274.57 亿行（-40.9%），原始数据量减少 1600.72 TiB（-41.6%）。</x:v>
      </x:c>
      <x:c r="B48" s="248"/>
      <x:c r="C48" s="248"/>
      <x:c r="D48" s="248"/>
      <x:c r="E48" s="248"/>
      <x:c r="F48" s="248"/>
      <x:c r="G48" s="248"/>
      <x:c r="H48" s="248"/>
      <x:c r="I48" s="248"/>
      <x:c r="J48" s="248"/>
      <x:c r="K48" s="248"/>
      <x:c r="L48" s="248"/>
      <x:c r="M48" s="248"/>
      <x:c r="N48" s="248"/>
    </x:row>
    <x:row r="49" ht="30" customHeight="1">
      <x:c r="A49" s="244" t="str">
        <x:v>3. 整体压缩比从 13.88 降至 12.48；新集群磁盘量降幅小于原始数据量降幅，建议复核压缩与行宽变化。</x:v>
      </x:c>
      <x:c r="B49" s="244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</x:row>
    <x:row r="50" ht="30" customHeight="1">
      <x:c r="A50" s="248" t="str">
        <x:v>4. 容量下降主要由 network_security_log_local（-68.08 TiB）和 http_log_local（-9.11 TiB）贡献。</x:v>
      </x:c>
      <x:c r="B50" s="248"/>
      <x:c r="C50" s="248"/>
      <x:c r="D50" s="248"/>
      <x:c r="E50" s="248"/>
      <x:c r="F50" s="248"/>
      <x:c r="G50" s="248"/>
      <x:c r="H50" s="248"/>
      <x:c r="I50" s="248"/>
      <x:c r="J50" s="248"/>
      <x:c r="K50" s="248"/>
      <x:c r="L50" s="248"/>
      <x:c r="M50" s="248"/>
      <x:c r="N50" s="248"/>
    </x:row>
    <x:row r="51" ht="30" customHeight="1">
      <x:c r="A51" s="244" t="str">
        <x:v>5. 58 张表两边都有，1 张仅新集群、8 张仅老集群；该差异应结合采集范围和迁移清单复核。</x:v>
      </x:c>
      <x:c r="B51" s="244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</x:row>
  </x:sheetData>
  <x:mergeCells>
    <x:mergeCell ref="A1:N1"/>
    <x:mergeCell ref="A2:N2"/>
    <x:mergeCell ref="A4:E4"/>
    <x:mergeCell ref="A17:G17"/>
    <x:mergeCell ref="A25:E25"/>
    <x:mergeCell ref="A32:F32"/>
    <x:mergeCell ref="H32:M32"/>
    <x:mergeCell ref="A46:N46"/>
    <x:mergeCell ref="A47:N47"/>
    <x:mergeCell ref="A48:N48"/>
    <x:mergeCell ref="A49:N49"/>
    <x:mergeCell ref="A50:N50"/>
    <x:mergeCell ref="A51:N51"/>
  </x:mergeCells>
  <x:conditionalFormatting sqref="D6:D13">
    <x:cfRule type="cellIs" dxfId="20" priority="1" operator="greaterThan">
      <x:formula>0</x:formula>
    </x:cfRule>
    <x:cfRule type="cellIs" dxfId="2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d3ee4ca81ee4f7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2" hidden="0" customWidth="1"/>
    <x:col min="4" max="4" width="11" hidden="0" customWidth="1"/>
    <x:col min="5" max="5" width="11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21" hidden="0" customWidth="1"/>
    <x:col min="11" max="11" width="21" hidden="0" customWidth="1"/>
    <x:col min="12" max="12" width="14" hidden="0" customWidth="1"/>
    <x:col min="13" max="13" width="14" hidden="0" customWidth="1"/>
    <x:col min="14" max="14" width="14" hidden="0" customWidth="1"/>
    <x:col min="15" max="15" width="13" hidden="0" customWidth="1"/>
    <x:col min="16" max="16" width="21" hidden="0" customWidth="1"/>
    <x:col min="17" max="17" width="21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4" hidden="0" customWidth="1"/>
  </x:cols>
  <x:sheetData>
    <x:row r="1" ht="34" customHeight="1">
      <x:c r="A1" s="9" t="str">
        <x:v>新老集群 business 表级差异明细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1"/>
    </x:row>
    <x:row r="2">
      <x:c r="A2" s="15" t="str">
        <x:v>按磁盘容量绝对差异排序；仅存在于一侧的表单独标记，变化率仅对“两边都有”的表计算。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</x:row>
    <x:row r="4" ht="38" customHeight="1">
      <x:c r="A4" s="26" t="str">
        <x:v>差异排名</x:v>
      </x:c>
      <x:c r="B4" s="27" t="str">
        <x:v>表名</x:v>
      </x:c>
      <x:c r="C4" s="27" t="str">
        <x:v>存在状态</x:v>
      </x:c>
      <x:c r="D4" s="27" t="str">
        <x:v>老容量级别</x:v>
      </x:c>
      <x:c r="E4" s="27" t="str">
        <x:v>新容量级别</x:v>
      </x:c>
      <x:c r="F4" s="27" t="str">
        <x:v>老总行数</x:v>
      </x:c>
      <x:c r="G4" s="27" t="str">
        <x:v>新总行数</x:v>
      </x:c>
      <x:c r="H4" s="27" t="str">
        <x:v>行数差</x:v>
      </x:c>
      <x:c r="I4" s="27" t="str">
        <x:v>行数变化率</x:v>
      </x:c>
      <x:c r="J4" s="27" t="str">
        <x:v>老磁盘字节</x:v>
      </x:c>
      <x:c r="K4" s="27" t="str">
        <x:v>新磁盘字节</x:v>
      </x:c>
      <x:c r="L4" s="27" t="str">
        <x:v>老磁盘TiB</x:v>
      </x:c>
      <x:c r="M4" s="27" t="str">
        <x:v>新磁盘TiB</x:v>
      </x:c>
      <x:c r="N4" s="27" t="str">
        <x:v>磁盘差TiB</x:v>
      </x:c>
      <x:c r="O4" s="27" t="str">
        <x:v>磁盘变化率</x:v>
      </x:c>
      <x:c r="P4" s="27" t="str">
        <x:v>老原始字节</x:v>
      </x:c>
      <x:c r="Q4" s="27" t="str">
        <x:v>新原始字节</x:v>
      </x:c>
      <x:c r="R4" s="27" t="str">
        <x:v>老压缩比</x:v>
      </x:c>
      <x:c r="S4" s="27" t="str">
        <x:v>新压缩比</x:v>
      </x:c>
      <x:c r="T4" s="27" t="str">
        <x:v>压缩比差</x:v>
      </x:c>
      <x:c r="U4" s="27" t="str">
        <x:v>老磁盘B/行</x:v>
      </x:c>
      <x:c r="V4" s="28" t="str">
        <x:v>新磁盘B/行</x:v>
      </x:c>
    </x:row>
    <x:row r="5">
      <x:c r="A5" s="36" t="n">
        <x:v>1</x:v>
      </x:c>
      <x:c r="B5" s="33" t="str">
        <x:v>network_security_log_local</x:v>
      </x:c>
      <x:c r="C5" s="36" t="str">
        <x:v>两边都有</x:v>
      </x:c>
      <x:c r="D5" s="36" t="str">
        <x:f>IF(L5="","",IF(L5*1024&gt;='新集群汇总'!$B$14,"超大表",IF(L5*1024&gt;='新集群汇总'!$B$15,"大表",IF(L5*1024&gt;='新集群汇总'!$B$16,"中表","小表"))))</x:f>
        <x:v>超大表</x:v>
      </x:c>
      <x:c r="E5" s="36" t="str">
        <x:f>IF(M5="","",IF(M5*1024&gt;='新集群汇总'!$B$14,"超大表",IF(M5*1024&gt;='新集群汇总'!$B$15,"大表",IF(M5*1024&gt;='新集群汇总'!$B$16,"中表","小表"))))</x:f>
        <x:v>超大表</x:v>
      </x:c>
      <x:c r="F5" s="262" t="n">
        <x:v>497887456508</x:v>
      </x:c>
      <x:c r="G5" s="262" t="n">
        <x:v>243825658144</x:v>
      </x:c>
      <x:c r="H5" s="262" t="n">
        <x:f>IF(C5="仅新集群",G5,IF(C5="仅老集群",-F5,G5-F5))</x:f>
        <x:v>-254061798364</x:v>
      </x:c>
      <x:c r="I5" s="265" t="n">
        <x:f>IF(C5="两边都有",IF(F5=0,"",G5/F5-1),"")</x:f>
        <x:v>-0.510279572307156</x:v>
      </x:c>
      <x:c r="J5" s="262" t="n">
        <x:v>147498170473034</x:v>
      </x:c>
      <x:c r="K5" s="262" t="n">
        <x:v>72643608914077</x:v>
      </x:c>
      <x:c r="L5" s="268" t="n">
        <x:f>IF(J5="","",J5/1099511627776)</x:f>
        <x:v>134.1488045664246</x:v>
      </x:c>
      <x:c r="M5" s="268" t="n">
        <x:f>IF(K5="","",K5/1099511627776)</x:f>
        <x:v>66.06897742501769</x:v>
      </x:c>
      <x:c r="N5" s="268" t="n">
        <x:f>IF(C5="仅新集群",M5,IF(C5="仅老集群",-L5,M5-L5))</x:f>
        <x:v>-68.0798271414069</x:v>
      </x:c>
      <x:c r="O5" s="265" t="n">
        <x:f>IF(C5="两边都有",IF(L5=0,"",M5/L5-1),"")</x:f>
        <x:v>-0.5074948476912946</x:v>
      </x:c>
      <x:c r="P5" s="262" t="n">
        <x:v>2077910959412697</x:v>
      </x:c>
      <x:c r="Q5" s="262" t="n">
        <x:v>1028881098564733</x:v>
      </x:c>
      <x:c r="R5" s="271" t="n">
        <x:v>14.09</x:v>
      </x:c>
      <x:c r="S5" s="271" t="n">
        <x:v>14.16</x:v>
      </x:c>
      <x:c r="T5" s="271" t="n">
        <x:f>IF(C5="两边都有",S5-R5,"")</x:f>
        <x:v>0.07000000000000028</x:v>
      </x:c>
      <x:c r="U5" s="271" t="n">
        <x:v>296.25</x:v>
      </x:c>
      <x:c r="V5" s="271" t="n">
        <x:v>297.93</x:v>
      </x:c>
    </x:row>
    <x:row r="6">
      <x:c r="A6" s="37" t="n">
        <x:v>2</x:v>
      </x:c>
      <x:c r="B6" s="34" t="str">
        <x:v>http_log_local</x:v>
      </x:c>
      <x:c r="C6" s="37" t="str">
        <x:v>两边都有</x:v>
      </x:c>
      <x:c r="D6" s="37" t="str">
        <x:f>IF(L6="","",IF(L6*1024&gt;='新集群汇总'!$B$14,"超大表",IF(L6*1024&gt;='新集群汇总'!$B$15,"大表",IF(L6*1024&gt;='新集群汇总'!$B$16,"中表","小表"))))</x:f>
        <x:v>超大表</x:v>
      </x:c>
      <x:c r="E6" s="37" t="str">
        <x:f>IF(M6="","",IF(M6*1024&gt;='新集群汇总'!$B$14,"超大表",IF(M6*1024&gt;='新集群汇总'!$B$15,"大表",IF(M6*1024&gt;='新集群汇总'!$B$16,"中表","小表"))))</x:f>
        <x:v>超大表</x:v>
      </x:c>
      <x:c r="F6" s="263" t="n">
        <x:v>340709228401</x:v>
      </x:c>
      <x:c r="G6" s="263" t="n">
        <x:v>200316102935</x:v>
      </x:c>
      <x:c r="H6" s="263" t="n">
        <x:f>IF(C6="仅新集群",G6,IF(C6="仅老集群",-F6,G6-F6))</x:f>
        <x:v>-140393125466</x:v>
      </x:c>
      <x:c r="I6" s="266" t="n">
        <x:f>IF(C6="两边都有",IF(F6=0,"",G6/F6-1),"")</x:f>
        <x:v>-0.4120614112065182</x:v>
      </x:c>
      <x:c r="J6" s="263" t="n">
        <x:v>75978300872011</x:v>
      </x:c>
      <x:c r="K6" s="263" t="n">
        <x:v>65958155663600</x:v>
      </x:c>
      <x:c r="L6" s="269" t="n">
        <x:f>IF(J6="","",J6/1099511627776)</x:f>
        <x:v>69.10186209280346</x:v>
      </x:c>
      <x:c r="M6" s="269" t="n">
        <x:f>IF(K6="","",K6/1099511627776)</x:f>
        <x:v>59.98859311475826</x:v>
      </x:c>
      <x:c r="N6" s="269" t="n">
        <x:f>IF(C6="仅新集群",M6,IF(C6="仅老集群",-L6,M6-L6))</x:f>
        <x:v>-9.113268978045198</x:v>
      </x:c>
      <x:c r="O6" s="266" t="n">
        <x:f>IF(C6="两边都有",IF(L6=0,"",M6/L6-1),"")</x:f>
        <x:v>-0.1318816700743335</x:v>
      </x:c>
      <x:c r="P6" s="263" t="n">
        <x:v>784996716499401</x:v>
      </x:c>
      <x:c r="Q6" s="263" t="n">
        <x:v>500614526418129</x:v>
      </x:c>
      <x:c r="R6" s="272" t="n">
        <x:v>10.33</x:v>
      </x:c>
      <x:c r="S6" s="272" t="n">
        <x:v>7.59</x:v>
      </x:c>
      <x:c r="T6" s="272" t="n">
        <x:f>IF(C6="两边都有",S6-R6,"")</x:f>
        <x:v>-2.74</x:v>
      </x:c>
      <x:c r="U6" s="272" t="n">
        <x:v>223</x:v>
      </x:c>
      <x:c r="V6" s="272" t="n">
        <x:v>329.27</x:v>
      </x:c>
    </x:row>
    <x:row r="7">
      <x:c r="A7" s="37" t="n">
        <x:v>3</x:v>
      </x:c>
      <x:c r="B7" s="34" t="str">
        <x:v>dns_log_local</x:v>
      </x:c>
      <x:c r="C7" s="37" t="str">
        <x:v>两边都有</x:v>
      </x:c>
      <x:c r="D7" s="37" t="str">
        <x:f>IF(L7="","",IF(L7*1024&gt;='新集群汇总'!$B$14,"超大表",IF(L7*1024&gt;='新集群汇总'!$B$15,"大表",IF(L7*1024&gt;='新集群汇总'!$B$16,"中表","小表"))))</x:f>
        <x:v>超大表</x:v>
      </x:c>
      <x:c r="E7" s="37" t="str">
        <x:f>IF(M7="","",IF(M7*1024&gt;='新集群汇总'!$B$14,"超大表",IF(M7*1024&gt;='新集群汇总'!$B$15,"大表",IF(M7*1024&gt;='新集群汇总'!$B$16,"中表","小表"))))</x:f>
        <x:v>超大表</x:v>
      </x:c>
      <x:c r="F7" s="263" t="n">
        <x:v>563974083265</x:v>
      </x:c>
      <x:c r="G7" s="263" t="n">
        <x:v>297782769641</x:v>
      </x:c>
      <x:c r="H7" s="263" t="n">
        <x:f>IF(C7="仅新集群",G7,IF(C7="仅老集群",-F7,G7-F7))</x:f>
        <x:v>-266191313624</x:v>
      </x:c>
      <x:c r="I7" s="266" t="n">
        <x:f>IF(C7="两边都有",IF(F7=0,"",G7/F7-1),"")</x:f>
        <x:v>-0.4719921030465545</x:v>
      </x:c>
      <x:c r="J7" s="263" t="n">
        <x:v>16783425181479</x:v>
      </x:c>
      <x:c r="K7" s="263" t="n">
        <x:v>8991594529799</x:v>
      </x:c>
      <x:c r="L7" s="269" t="n">
        <x:f>IF(J7="","",J7/1099511627776)</x:f>
        <x:v>15.264436280157497</x:v>
      </x:c>
      <x:c r="M7" s="269" t="n">
        <x:f>IF(K7="","",K7/1099511627776)</x:f>
        <x:v>8.177807585342634</x:v>
      </x:c>
      <x:c r="N7" s="269" t="n">
        <x:f>IF(C7="仅新集群",M7,IF(C7="仅老集群",-L7,M7-L7))</x:f>
        <x:v>-7.086628694814863</x:v>
      </x:c>
      <x:c r="O7" s="266" t="n">
        <x:f>IF(C7="两边都有",IF(L7=0,"",M7/L7-1),"")</x:f>
        <x:v>-0.46425747828151986</x:v>
      </x:c>
      <x:c r="P7" s="263" t="n">
        <x:v>382018832730939</x:v>
      </x:c>
      <x:c r="Q7" s="263" t="n">
        <x:v>206849153391665</x:v>
      </x:c>
      <x:c r="R7" s="272" t="n">
        <x:v>22.76</x:v>
      </x:c>
      <x:c r="S7" s="272" t="n">
        <x:v>23</x:v>
      </x:c>
      <x:c r="T7" s="272" t="n">
        <x:f>IF(C7="两边都有",S7-R7,"")</x:f>
        <x:v>0.23999999999999844</x:v>
      </x:c>
      <x:c r="U7" s="272" t="n">
        <x:v>29.76</x:v>
      </x:c>
      <x:c r="V7" s="272" t="n">
        <x:v>30.2</x:v>
      </x:c>
    </x:row>
    <x:row r="8">
      <x:c r="A8" s="37" t="n">
        <x:v>4</x:v>
      </x:c>
      <x:c r="B8" s="34" t="str">
        <x:v>ssl_tls_log_local</x:v>
      </x:c>
      <x:c r="C8" s="37" t="str">
        <x:v>两边都有</x:v>
      </x:c>
      <x:c r="D8" s="37" t="str">
        <x:f>IF(L8="","",IF(L8*1024&gt;='新集群汇总'!$B$14,"超大表",IF(L8*1024&gt;='新集群汇总'!$B$15,"大表",IF(L8*1024&gt;='新集群汇总'!$B$16,"中表","小表"))))</x:f>
        <x:v>超大表</x:v>
      </x:c>
      <x:c r="E8" s="37" t="str">
        <x:f>IF(M8="","",IF(M8*1024&gt;='新集群汇总'!$B$14,"超大表",IF(M8*1024&gt;='新集群汇总'!$B$15,"大表",IF(M8*1024&gt;='新集群汇总'!$B$16,"中表","小表"))))</x:f>
        <x:v>超大表</x:v>
      </x:c>
      <x:c r="F8" s="263" t="n">
        <x:v>50235819182</x:v>
      </x:c>
      <x:c r="G8" s="263" t="n">
        <x:v>35770546253</x:v>
      </x:c>
      <x:c r="H8" s="263" t="n">
        <x:f>IF(C8="仅新集群",G8,IF(C8="仅老集群",-F8,G8-F8))</x:f>
        <x:v>-14465272929</x:v>
      </x:c>
      <x:c r="I8" s="266" t="n">
        <x:f>IF(C8="两边都有",IF(F8=0,"",G8/F8-1),"")</x:f>
        <x:v>-0.28794738822897614</x:v>
      </x:c>
      <x:c r="J8" s="263" t="n">
        <x:v>24231909304823</x:v>
      </x:c>
      <x:c r="K8" s="263" t="n">
        <x:v>17062931011099</x:v>
      </x:c>
      <x:c r="L8" s="269" t="n">
        <x:f>IF(J8="","",J8/1099511627776)</x:f>
        <x:v>22.03879312657864</x:v>
      </x:c>
      <x:c r="M8" s="269" t="n">
        <x:f>IF(K8="","",K8/1099511627776)</x:f>
        <x:v>15.518645351311534</x:v>
      </x:c>
      <x:c r="N8" s="269" t="n">
        <x:f>IF(C8="仅新集群",M8,IF(C8="仅老集群",-L8,M8-L8))</x:f>
        <x:v>-6.520147775267105</x:v>
      </x:c>
      <x:c r="O8" s="266" t="n">
        <x:f>IF(C8="两边都有",IF(L8=0,"",M8/L8-1),"")</x:f>
        <x:v>-0.2958486763689364</x:v>
      </x:c>
      <x:c r="P8" s="263" t="n">
        <x:v>206117561006855</x:v>
      </x:c>
      <x:c r="Q8" s="263" t="n">
        <x:v>156294422147028</x:v>
      </x:c>
      <x:c r="R8" s="272" t="n">
        <x:v>8.51</x:v>
      </x:c>
      <x:c r="S8" s="272" t="n">
        <x:v>9.16</x:v>
      </x:c>
      <x:c r="T8" s="272" t="n">
        <x:f>IF(C8="两边都有",S8-R8,"")</x:f>
        <x:v>0.6500000000000004</x:v>
      </x:c>
      <x:c r="U8" s="272" t="n">
        <x:v>482.36</x:v>
      </x:c>
      <x:c r="V8" s="272" t="n">
        <x:v>477.01</x:v>
      </x:c>
    </x:row>
    <x:row r="9">
      <x:c r="A9" s="37" t="n">
        <x:v>5</x:v>
      </x:c>
      <x:c r="B9" s="34" t="str">
        <x:v>tcp_log_local</x:v>
      </x:c>
      <x:c r="C9" s="37" t="str">
        <x:v>两边都有</x:v>
      </x:c>
      <x:c r="D9" s="37" t="str">
        <x:f>IF(L9="","",IF(L9*1024&gt;='新集群汇总'!$B$14,"超大表",IF(L9*1024&gt;='新集群汇总'!$B$15,"大表",IF(L9*1024&gt;='新集群汇总'!$B$16,"中表","小表"))))</x:f>
        <x:v>超大表</x:v>
      </x:c>
      <x:c r="E9" s="37" t="str">
        <x:f>IF(M9="","",IF(M9*1024&gt;='新集群汇总'!$B$14,"超大表",IF(M9*1024&gt;='新集群汇总'!$B$15,"大表",IF(M9*1024&gt;='新集群汇总'!$B$16,"中表","小表"))))</x:f>
        <x:v>超大表</x:v>
      </x:c>
      <x:c r="F9" s="263" t="n">
        <x:v>327998137977</x:v>
      </x:c>
      <x:c r="G9" s="263" t="n">
        <x:v>246221592283</x:v>
      </x:c>
      <x:c r="H9" s="263" t="n">
        <x:f>IF(C9="仅新集群",G9,IF(C9="仅老集群",-F9,G9-F9))</x:f>
        <x:v>-81776545694</x:v>
      </x:c>
      <x:c r="I9" s="266" t="n">
        <x:f>IF(C9="两边都有",IF(F9=0,"",G9/F9-1),"")</x:f>
        <x:v>-0.24932015223737147</x:v>
      </x:c>
      <x:c r="J9" s="263" t="n">
        <x:v>17542511427445</x:v>
      </x:c>
      <x:c r="K9" s="263" t="n">
        <x:v>13494654337616</x:v>
      </x:c>
      <x:c r="L9" s="269" t="n">
        <x:f>IF(J9="","",J9/1099511627776)</x:f>
        <x:v>15.954821199052276</x:v>
      </x:c>
      <x:c r="M9" s="269" t="n">
        <x:f>IF(K9="","",K9/1099511627776)</x:f>
        <x:v>12.273316622318816</x:v>
      </x:c>
      <x:c r="N9" s="269" t="n">
        <x:f>IF(C9="仅新集群",M9,IF(C9="仅老集群",-L9,M9-L9))</x:f>
        <x:v>-3.6815045767334595</x:v>
      </x:c>
      <x:c r="O9" s="266" t="n">
        <x:f>IF(C9="两边都有",IF(L9=0,"",M9/L9-1),"")</x:f>
        <x:v>-0.23074558660376232</x:v>
      </x:c>
      <x:c r="P9" s="263" t="n">
        <x:v>238870009327616</x:v>
      </x:c>
      <x:c r="Q9" s="263" t="n">
        <x:v>180504556158454</x:v>
      </x:c>
      <x:c r="R9" s="272" t="n">
        <x:v>13.62</x:v>
      </x:c>
      <x:c r="S9" s="272" t="n">
        <x:v>13.38</x:v>
      </x:c>
      <x:c r="T9" s="272" t="n">
        <x:f>IF(C9="两边都有",S9-R9,"")</x:f>
        <x:v>-0.23999999999999844</x:v>
      </x:c>
      <x:c r="U9" s="272" t="n">
        <x:v>53.48</x:v>
      </x:c>
      <x:c r="V9" s="272" t="n">
        <x:v>54.81</x:v>
      </x:c>
    </x:row>
    <x:row r="10">
      <x:c r="A10" s="37" t="n">
        <x:v>6</x:v>
      </x:c>
      <x:c r="B10" s="34" t="str">
        <x:v>smb_log_local</x:v>
      </x:c>
      <x:c r="C10" s="37" t="str">
        <x:v>两边都有</x:v>
      </x:c>
      <x:c r="D10" s="37" t="str">
        <x:f>IF(L10="","",IF(L10*1024&gt;='新集群汇总'!$B$14,"超大表",IF(L10*1024&gt;='新集群汇总'!$B$15,"大表",IF(L10*1024&gt;='新集群汇总'!$B$16,"中表","小表"))))</x:f>
        <x:v>超大表</x:v>
      </x:c>
      <x:c r="E10" s="37" t="str">
        <x:f>IF(M10="","",IF(M10*1024&gt;='新集群汇总'!$B$14,"超大表",IF(M10*1024&gt;='新集群汇总'!$B$15,"大表",IF(M10*1024&gt;='新集群汇总'!$B$16,"中表","小表"))))</x:f>
        <x:v>大表</x:v>
      </x:c>
      <x:c r="F10" s="263" t="n">
        <x:v>123228674861</x:v>
      </x:c>
      <x:c r="G10" s="263" t="n">
        <x:v>35026943219</x:v>
      </x:c>
      <x:c r="H10" s="263" t="n">
        <x:f>IF(C10="仅新集群",G10,IF(C10="仅老集群",-F10,G10-F10))</x:f>
        <x:v>-88201731642</x:v>
      </x:c>
      <x:c r="I10" s="266" t="n">
        <x:f>IF(C10="两边都有",IF(F10=0,"",G10/F10-1),"")</x:f>
        <x:v>-0.7157565537525268</x:v>
      </x:c>
      <x:c r="J10" s="263" t="n">
        <x:v>2543637334573</x:v>
      </x:c>
      <x:c r="K10" s="263" t="n">
        <x:v>606764689548</x:v>
      </x:c>
      <x:c r="L10" s="269" t="n">
        <x:f>IF(J10="","",J10/1099511627776)</x:f>
        <x:v>2.3134246790259567</x:v>
      </x:c>
      <x:c r="M10" s="269" t="n">
        <x:f>IF(K10="","",K10/1099511627776)</x:f>
        <x:v>0.5518492703668016</x:v>
      </x:c>
      <x:c r="N10" s="269" t="n">
        <x:f>IF(C10="仅新集群",M10,IF(C10="仅老集群",-L10,M10-L10))</x:f>
        <x:v>-1.761575408659155</x:v>
      </x:c>
      <x:c r="O10" s="266" t="n">
        <x:f>IF(C10="两边都有",IF(L10=0,"",M10/L10-1),"")</x:f>
        <x:v>-0.7614578614251007</x:v>
      </x:c>
      <x:c r="P10" s="263" t="n">
        <x:v>87383177515365</x:v>
      </x:c>
      <x:c r="Q10" s="263" t="n">
        <x:v>25021643656180</x:v>
      </x:c>
      <x:c r="R10" s="272" t="n">
        <x:v>34.35</x:v>
      </x:c>
      <x:c r="S10" s="272" t="n">
        <x:v>41.24</x:v>
      </x:c>
      <x:c r="T10" s="272" t="n">
        <x:f>IF(C10="两边都有",S10-R10,"")</x:f>
        <x:v>6.890000000000001</x:v>
      </x:c>
      <x:c r="U10" s="272" t="n">
        <x:v>20.64</x:v>
      </x:c>
      <x:c r="V10" s="272" t="n">
        <x:v>17.32</x:v>
      </x:c>
    </x:row>
    <x:row r="11">
      <x:c r="A11" s="37" t="n">
        <x:v>7</x:v>
      </x:c>
      <x:c r="B11" s="34" t="str">
        <x:v>parse_status_log_local</x:v>
      </x:c>
      <x:c r="C11" s="37" t="str">
        <x:v>两边都有</x:v>
      </x:c>
      <x:c r="D11" s="37" t="str">
        <x:f>IF(L11="","",IF(L11*1024&gt;='新集群汇总'!$B$14,"超大表",IF(L11*1024&gt;='新集群汇总'!$B$15,"大表",IF(L11*1024&gt;='新集群汇总'!$B$16,"中表","小表"))))</x:f>
        <x:v>超大表</x:v>
      </x:c>
      <x:c r="E11" s="37" t="str">
        <x:f>IF(M11="","",IF(M11*1024&gt;='新集群汇总'!$B$14,"超大表",IF(M11*1024&gt;='新集群汇总'!$B$15,"大表",IF(M11*1024&gt;='新集群汇总'!$B$16,"中表","小表"))))</x:f>
        <x:v>超大表</x:v>
      </x:c>
      <x:c r="F11" s="263" t="n">
        <x:v>41302052290</x:v>
      </x:c>
      <x:c r="G11" s="263" t="n">
        <x:v>60440530908</x:v>
      </x:c>
      <x:c r="H11" s="263" t="n">
        <x:f>IF(C11="仅新集群",G11,IF(C11="仅老集群",-F11,G11-F11))</x:f>
        <x:v>19138478618</x:v>
      </x:c>
      <x:c r="I11" s="266" t="n">
        <x:f>IF(C11="两边都有",IF(F11=0,"",G11/F11-1),"")</x:f>
        <x:v>0.4633783930062425</x:v>
      </x:c>
      <x:c r="J11" s="263" t="n">
        <x:v>2234215685128</x:v>
      </x:c>
      <x:c r="K11" s="263" t="n">
        <x:v>4119416023829</x:v>
      </x:c>
      <x:c r="L11" s="269" t="n">
        <x:f>IF(J11="","",J11/1099511627776)</x:f>
        <x:v>2.032007328241889</x:v>
      </x:c>
      <x:c r="M11" s="269" t="n">
        <x:f>IF(K11="","",K11/1099511627776)</x:f>
        <x:v>3.746587048070978</x:v>
      </x:c>
      <x:c r="N11" s="269" t="n">
        <x:f>IF(C11="仅新集群",M11,IF(C11="仅老集群",-L11,M11-L11))</x:f>
        <x:v>1.7145797198290893</x:v>
      </x:c>
      <x:c r="O11" s="266" t="n">
        <x:f>IF(C11="两边都有",IF(L11=0,"",M11/L11-1),"")</x:f>
        <x:v>0.8437861891534413</x:v>
      </x:c>
      <x:c r="P11" s="263" t="n">
        <x:v>53479113749277</x:v>
      </x:c>
      <x:c r="Q11" s="263" t="n">
        <x:v>72017410682775</x:v>
      </x:c>
      <x:c r="R11" s="272" t="n">
        <x:v>23.94</x:v>
      </x:c>
      <x:c r="S11" s="272" t="n">
        <x:v>17.48</x:v>
      </x:c>
      <x:c r="T11" s="272" t="n">
        <x:f>IF(C11="两边都有",S11-R11,"")</x:f>
        <x:v>-6.460000000000001</x:v>
      </x:c>
      <x:c r="U11" s="272" t="n">
        <x:v>54.09</x:v>
      </x:c>
      <x:c r="V11" s="272" t="n">
        <x:v>68.16</x:v>
      </x:c>
    </x:row>
    <x:row r="12">
      <x:c r="A12" s="37" t="n">
        <x:v>8</x:v>
      </x:c>
      <x:c r="B12" s="34" t="str">
        <x:v>acl_log_local</x:v>
      </x:c>
      <x:c r="C12" s="37" t="str">
        <x:v>两边都有</x:v>
      </x:c>
      <x:c r="D12" s="37" t="str">
        <x:f>IF(L12="","",IF(L12*1024&gt;='新集群汇总'!$B$14,"超大表",IF(L12*1024&gt;='新集群汇总'!$B$15,"大表",IF(L12*1024&gt;='新集群汇总'!$B$16,"中表","小表"))))</x:f>
        <x:v>超大表</x:v>
      </x:c>
      <x:c r="E12" s="37" t="str">
        <x:f>IF(M12="","",IF(M12*1024&gt;='新集群汇总'!$B$14,"超大表",IF(M12*1024&gt;='新集群汇总'!$B$15,"大表",IF(M12*1024&gt;='新集群汇总'!$B$16,"中表","小表"))))</x:f>
        <x:v>超大表</x:v>
      </x:c>
      <x:c r="F12" s="263" t="n">
        <x:v>91138370194</x:v>
      </x:c>
      <x:c r="G12" s="263" t="n">
        <x:v>76206029612</x:v>
      </x:c>
      <x:c r="H12" s="263" t="n">
        <x:f>IF(C12="仅新集群",G12,IF(C12="仅老集群",-F12,G12-F12))</x:f>
        <x:v>-14932340582</x:v>
      </x:c>
      <x:c r="I12" s="266" t="n">
        <x:f>IF(C12="两边都有",IF(F12=0,"",G12/F12-1),"")</x:f>
        <x:v>-0.16384252373851482</x:v>
      </x:c>
      <x:c r="J12" s="263" t="n">
        <x:v>6873139250155</x:v>
      </x:c>
      <x:c r="K12" s="263" t="n">
        <x:v>5302089982033</x:v>
      </x:c>
      <x:c r="L12" s="269" t="n">
        <x:f>IF(J12="","",J12/1099511627776)</x:f>
        <x:v>6.251083732563529</x:v>
      </x:c>
      <x:c r="M12" s="269" t="n">
        <x:f>IF(K12="","",K12/1099511627776)</x:f>
        <x:v>4.822222746982334</x:v>
      </x:c>
      <x:c r="N12" s="269" t="n">
        <x:f>IF(C12="仅新集群",M12,IF(C12="仅老集群",-L12,M12-L12))</x:f>
        <x:v>-1.4288609855811956</x:v>
      </x:c>
      <x:c r="O12" s="266" t="n">
        <x:f>IF(C12="两边都有",IF(L12=0,"",M12/L12-1),"")</x:f>
        <x:v>-0.22857812288417845</x:v>
      </x:c>
      <x:c r="P12" s="263" t="n">
        <x:v>110581493004845</x:v>
      </x:c>
      <x:c r="Q12" s="263" t="n">
        <x:v>85013854744141</x:v>
      </x:c>
      <x:c r="R12" s="272" t="n">
        <x:v>16.09</x:v>
      </x:c>
      <x:c r="S12" s="272" t="n">
        <x:v>16.03</x:v>
      </x:c>
      <x:c r="T12" s="272" t="n">
        <x:f>IF(C12="两边都有",S12-R12,"")</x:f>
        <x:v>-0.05999999999999872</x:v>
      </x:c>
      <x:c r="U12" s="272" t="n">
        <x:v>75.41</x:v>
      </x:c>
      <x:c r="V12" s="272" t="n">
        <x:v>69.58</x:v>
      </x:c>
    </x:row>
    <x:row r="13">
      <x:c r="A13" s="37" t="n">
        <x:v>9</x:v>
      </x:c>
      <x:c r="B13" s="34" t="str">
        <x:v>operation_log_local</x:v>
      </x:c>
      <x:c r="C13" s="37" t="str">
        <x:v>两边都有</x:v>
      </x:c>
      <x:c r="D13" s="37" t="str">
        <x:f>IF(L13="","",IF(L13*1024&gt;='新集群汇总'!$B$14,"超大表",IF(L13*1024&gt;='新集群汇总'!$B$15,"大表",IF(L13*1024&gt;='新集群汇总'!$B$16,"中表","小表"))))</x:f>
        <x:v>大表</x:v>
      </x:c>
      <x:c r="E13" s="37" t="str">
        <x:f>IF(M13="","",IF(M13*1024&gt;='新集群汇总'!$B$14,"超大表",IF(M13*1024&gt;='新集群汇总'!$B$15,"大表",IF(M13*1024&gt;='新集群汇总'!$B$16,"中表","小表"))))</x:f>
        <x:v>超大表</x:v>
      </x:c>
      <x:c r="F13" s="263" t="n">
        <x:v>1519584860</x:v>
      </x:c>
      <x:c r="G13" s="263" t="n">
        <x:v>14333406935</x:v>
      </x:c>
      <x:c r="H13" s="263" t="n">
        <x:f>IF(C13="仅新集群",G13,IF(C13="仅老集群",-F13,G13-F13))</x:f>
        <x:v>12813822075</x:v>
      </x:c>
      <x:c r="I13" s="266" t="n">
        <x:f>IF(C13="两边都有",IF(F13=0,"",G13/F13-1),"")</x:f>
        <x:v>8.432449159173645</x:v>
      </x:c>
      <x:c r="J13" s="263" t="n">
        <x:v>116768671936</x:v>
      </x:c>
      <x:c r="K13" s="263" t="n">
        <x:v>1593429620484</x:v>
      </x:c>
      <x:c r="L13" s="269" t="n">
        <x:f>IF(J13="","",J13/1099511627776)</x:f>
        <x:v>0.10620048845885321</x:v>
      </x:c>
      <x:c r="M13" s="269" t="n">
        <x:f>IF(K13="","",K13/1099511627776)</x:f>
        <x:v>1.4492157974782458</x:v>
      </x:c>
      <x:c r="N13" s="269" t="n">
        <x:f>IF(C13="仅新集群",M13,IF(C13="仅老集群",-L13,M13-L13))</x:f>
        <x:v>1.3430153090193926</x:v>
      </x:c>
      <x:c r="O13" s="266" t="n">
        <x:f>IF(C13="两边都有",IF(L13=0,"",M13/L13-1),"")</x:f>
        <x:v>12.64603702401742</x:v>
      </x:c>
      <x:c r="P13" s="263" t="n">
        <x:v>2643737027479</x:v>
      </x:c>
      <x:c r="Q13" s="263" t="n">
        <x:v>37865706398894</x:v>
      </x:c>
      <x:c r="R13" s="272" t="n">
        <x:v>22.64</x:v>
      </x:c>
      <x:c r="S13" s="272" t="n">
        <x:v>23.76</x:v>
      </x:c>
      <x:c r="T13" s="272" t="n">
        <x:f>IF(C13="两边都有",S13-R13,"")</x:f>
        <x:v>1.120000000000001</x:v>
      </x:c>
      <x:c r="U13" s="272" t="n">
        <x:v>76.84</x:v>
      </x:c>
      <x:c r="V13" s="272" t="n">
        <x:v>111.17</x:v>
      </x:c>
    </x:row>
    <x:row r="14">
      <x:c r="A14" s="37" t="n">
        <x:v>10</x:v>
      </x:c>
      <x:c r="B14" s="34" t="str">
        <x:v>asset_log_local</x:v>
      </x:c>
      <x:c r="C14" s="37" t="str">
        <x:v>两边都有</x:v>
      </x:c>
      <x:c r="D14" s="37" t="str">
        <x:f>IF(L14="","",IF(L14*1024&gt;='新集群汇总'!$B$14,"超大表",IF(L14*1024&gt;='新集群汇总'!$B$15,"大表",IF(L14*1024&gt;='新集群汇总'!$B$16,"中表","小表"))))</x:f>
        <x:v>超大表</x:v>
      </x:c>
      <x:c r="E14" s="37" t="str">
        <x:f>IF(M14="","",IF(M14*1024&gt;='新集群汇总'!$B$14,"超大表",IF(M14*1024&gt;='新集群汇总'!$B$15,"大表",IF(M14*1024&gt;='新集群汇总'!$B$16,"中表","小表"))))</x:f>
        <x:v>大表</x:v>
      </x:c>
      <x:c r="F14" s="263" t="n">
        <x:v>5958425610</x:v>
      </x:c>
      <x:c r="G14" s="263" t="n">
        <x:v>2705437622</x:v>
      </x:c>
      <x:c r="H14" s="263" t="n">
        <x:f>IF(C14="仅新集群",G14,IF(C14="仅老集群",-F14,G14-F14))</x:f>
        <x:v>-3252987988</x:v>
      </x:c>
      <x:c r="I14" s="266" t="n">
        <x:f>IF(C14="两边都有",IF(F14=0,"",G14/F14-1),"")</x:f>
        <x:v>-0.5459475708718297</x:v>
      </x:c>
      <x:c r="J14" s="263" t="n">
        <x:v>1957108424390</x:v>
      </x:c>
      <x:c r="K14" s="263" t="n">
        <x:v>859133485173</x:v>
      </x:c>
      <x:c r="L14" s="269" t="n">
        <x:f>IF(J14="","",J14/1099511627776)</x:f>
        <x:v>1.7799797427778685</x:v>
      </x:c>
      <x:c r="M14" s="269" t="n">
        <x:f>IF(K14="","",K14/1099511627776)</x:f>
        <x:v>0.7813773528805541</x:v>
      </x:c>
      <x:c r="N14" s="269" t="n">
        <x:f>IF(C14="仅新集群",M14,IF(C14="仅老集群",-L14,M14-L14))</x:f>
        <x:v>-0.9986023898973144</x:v>
      </x:c>
      <x:c r="O14" s="266" t="n">
        <x:f>IF(C14="两边都有",IF(L14=0,"",M14/L14-1),"")</x:f>
        <x:v>-0.5610189632489173</x:v>
      </x:c>
      <x:c r="P14" s="263" t="n">
        <x:v>35581803533519</x:v>
      </x:c>
      <x:c r="Q14" s="263" t="n">
        <x:v>15598877720913</x:v>
      </x:c>
      <x:c r="R14" s="272" t="n">
        <x:v>18.18</x:v>
      </x:c>
      <x:c r="S14" s="272" t="n">
        <x:v>18.16</x:v>
      </x:c>
      <x:c r="T14" s="272" t="n">
        <x:f>IF(C14="两边都有",S14-R14,"")</x:f>
        <x:v>-0.019999999999999574</x:v>
      </x:c>
      <x:c r="U14" s="272" t="n">
        <x:v>328.46</x:v>
      </x:c>
      <x:c r="V14" s="272" t="n">
        <x:v>317.56</x:v>
      </x:c>
    </x:row>
    <x:row r="15">
      <x:c r="A15" s="37" t="n">
        <x:v>11</x:v>
      </x:c>
      <x:c r="B15" s="34" t="str">
        <x:v>endpoint_telemetry_behavior_log_local</x:v>
      </x:c>
      <x:c r="C15" s="37" t="str">
        <x:v>两边都有</x:v>
      </x:c>
      <x:c r="D15" s="37" t="str">
        <x:f>IF(L15="","",IF(L15*1024&gt;='新集群汇总'!$B$14,"超大表",IF(L15*1024&gt;='新集群汇总'!$B$15,"大表",IF(L15*1024&gt;='新集群汇总'!$B$16,"中表","小表"))))</x:f>
        <x:v>大表</x:v>
      </x:c>
      <x:c r="E15" s="37" t="str">
        <x:f>IF(M15="","",IF(M15*1024&gt;='新集群汇总'!$B$14,"超大表",IF(M15*1024&gt;='新集群汇总'!$B$15,"大表",IF(M15*1024&gt;='新集群汇总'!$B$16,"中表","小表"))))</x:f>
        <x:v>超大表</x:v>
      </x:c>
      <x:c r="F15" s="263" t="n">
        <x:v>576934189</x:v>
      </x:c>
      <x:c r="G15" s="263" t="n">
        <x:v>3176749656</x:v>
      </x:c>
      <x:c r="H15" s="263" t="n">
        <x:f>IF(C15="仅新集群",G15,IF(C15="仅老集群",-F15,G15-F15))</x:f>
        <x:v>2599815467</x:v>
      </x:c>
      <x:c r="I15" s="266" t="n">
        <x:f>IF(C15="两边都有",IF(F15=0,"",G15/F15-1),"")</x:f>
        <x:v>4.506260014692941</x:v>
      </x:c>
      <x:c r="J15" s="263" t="n">
        <x:v>191321142824</x:v>
      </x:c>
      <x:c r="K15" s="263" t="n">
        <x:v>1123977010895</x:v>
      </x:c>
      <x:c r="L15" s="269" t="n">
        <x:f>IF(J15="","",J15/1099511627776)</x:f>
        <x:v>0.1740055657355697</x:v>
      </x:c>
      <x:c r="M15" s="269" t="n">
        <x:f>IF(K15="","",K15/1099511627776)</x:f>
        <x:v>1.0222511363235753</x:v>
      </x:c>
      <x:c r="N15" s="269" t="n">
        <x:f>IF(C15="仅新集群",M15,IF(C15="仅老集群",-L15,M15-L15))</x:f>
        <x:v>0.8482455705880056</x:v>
      </x:c>
      <x:c r="O15" s="266" t="n">
        <x:f>IF(C15="两边都有",IF(L15=0,"",M15/L15-1),"")</x:f>
        <x:v>4.874818612854346</x:v>
      </x:c>
      <x:c r="P15" s="263" t="n">
        <x:v>2918064612190</x:v>
      </x:c>
      <x:c r="Q15" s="263" t="n">
        <x:v>15724945518746</x:v>
      </x:c>
      <x:c r="R15" s="272" t="n">
        <x:v>15.25</x:v>
      </x:c>
      <x:c r="S15" s="272" t="n">
        <x:v>13.99</x:v>
      </x:c>
      <x:c r="T15" s="272" t="n">
        <x:f>IF(C15="两边都有",S15-R15,"")</x:f>
        <x:v>-1.2599999999999998</x:v>
      </x:c>
      <x:c r="U15" s="272" t="n">
        <x:v>331.62</x:v>
      </x:c>
      <x:c r="V15" s="272" t="n">
        <x:v>353.81</x:v>
      </x:c>
    </x:row>
    <x:row r="16">
      <x:c r="A16" s="37" t="n">
        <x:v>12</x:v>
      </x:c>
      <x:c r="B16" s="34" t="str">
        <x:v>icmp_log_local</x:v>
      </x:c>
      <x:c r="C16" s="37" t="str">
        <x:v>两边都有</x:v>
      </x:c>
      <x:c r="D16" s="37" t="str">
        <x:f>IF(L16="","",IF(L16*1024&gt;='新集群汇总'!$B$14,"超大表",IF(L16*1024&gt;='新集群汇总'!$B$15,"大表",IF(L16*1024&gt;='新集群汇总'!$B$16,"中表","小表"))))</x:f>
        <x:v>超大表</x:v>
      </x:c>
      <x:c r="E16" s="37" t="str">
        <x:f>IF(M16="","",IF(M16*1024&gt;='新集群汇总'!$B$14,"超大表",IF(M16*1024&gt;='新集群汇总'!$B$15,"大表",IF(M16*1024&gt;='新集群汇总'!$B$16,"中表","小表"))))</x:f>
        <x:v>超大表</x:v>
      </x:c>
      <x:c r="F16" s="263" t="n">
        <x:v>94081030042</x:v>
      </x:c>
      <x:c r="G16" s="263" t="n">
        <x:v>45024769138</x:v>
      </x:c>
      <x:c r="H16" s="263" t="n">
        <x:f>IF(C16="仅新集群",G16,IF(C16="仅老集群",-F16,G16-F16))</x:f>
        <x:v>-49056260904</x:v>
      </x:c>
      <x:c r="I16" s="266" t="n">
        <x:f>IF(C16="两边都有",IF(F16=0,"",G16/F16-1),"")</x:f>
        <x:v>-0.5214256357748221</x:v>
      </x:c>
      <x:c r="J16" s="263" t="n">
        <x:v>2121326679255</x:v>
      </x:c>
      <x:c r="K16" s="263" t="n">
        <x:v>1207939737663</x:v>
      </x:c>
      <x:c r="L16" s="269" t="n">
        <x:f>IF(J16="","",J16/1099511627776)</x:f>
        <x:v>1.9293353755119824</x:v>
      </x:c>
      <x:c r="M16" s="269" t="n">
        <x:f>IF(K16="","",K16/1099511627776)</x:f>
        <x:v>1.0986147914654794</x:v>
      </x:c>
      <x:c r="N16" s="269" t="n">
        <x:f>IF(C16="仅新集群",M16,IF(C16="仅老集群",-L16,M16-L16))</x:f>
        <x:v>-0.8307205840465031</x:v>
      </x:c>
      <x:c r="O16" s="266" t="n">
        <x:f>IF(C16="两边都有",IF(L16=0,"",M16/L16-1),"")</x:f>
        <x:v>-0.4305734475148246</x:v>
      </x:c>
      <x:c r="P16" s="263" t="n">
        <x:v>85181770834420</x:v>
      </x:c>
      <x:c r="Q16" s="263" t="n">
        <x:v>40913874593441</x:v>
      </x:c>
      <x:c r="R16" s="272" t="n">
        <x:v>40.15</x:v>
      </x:c>
      <x:c r="S16" s="272" t="n">
        <x:v>33.87</x:v>
      </x:c>
      <x:c r="T16" s="272" t="n">
        <x:f>IF(C16="两边都有",S16-R16,"")</x:f>
        <x:v>-6.280000000000001</x:v>
      </x:c>
      <x:c r="U16" s="272" t="n">
        <x:v>22.55</x:v>
      </x:c>
      <x:c r="V16" s="272" t="n">
        <x:v>26.83</x:v>
      </x:c>
    </x:row>
    <x:row r="17">
      <x:c r="A17" s="37" t="n">
        <x:v>13</x:v>
      </x:c>
      <x:c r="B17" s="34" t="str">
        <x:v>snmp_log_local</x:v>
      </x:c>
      <x:c r="C17" s="37" t="str">
        <x:v>两边都有</x:v>
      </x:c>
      <x:c r="D17" s="37" t="str">
        <x:f>IF(L17="","",IF(L17*1024&gt;='新集群汇总'!$B$14,"超大表",IF(L17*1024&gt;='新集群汇总'!$B$15,"大表",IF(L17*1024&gt;='新集群汇总'!$B$16,"中表","小表"))))</x:f>
        <x:v>超大表</x:v>
      </x:c>
      <x:c r="E17" s="37" t="str">
        <x:f>IF(M17="","",IF(M17*1024&gt;='新集群汇总'!$B$14,"超大表",IF(M17*1024&gt;='新集群汇总'!$B$15,"大表",IF(M17*1024&gt;='新集群汇总'!$B$16,"中表","小表"))))</x:f>
        <x:v>大表</x:v>
      </x:c>
      <x:c r="F17" s="263" t="n">
        <x:v>20469188272</x:v>
      </x:c>
      <x:c r="G17" s="263" t="n">
        <x:v>6563920146</x:v>
      </x:c>
      <x:c r="H17" s="263" t="n">
        <x:f>IF(C17="仅新集群",G17,IF(C17="仅老集群",-F17,G17-F17))</x:f>
        <x:v>-13905268126</x:v>
      </x:c>
      <x:c r="I17" s="266" t="n">
        <x:f>IF(C17="两边都有",IF(F17=0,"",G17/F17-1),"")</x:f>
        <x:v>-0.6793267979767009</x:v>
      </x:c>
      <x:c r="J17" s="263" t="n">
        <x:v>1101966988861</x:v>
      </x:c>
      <x:c r="K17" s="263" t="n">
        <x:v>345085532179</x:v>
      </x:c>
      <x:c r="L17" s="269" t="n">
        <x:f>IF(J17="","",J17/1099511627776)</x:f>
        <x:v>1.002233137897747</x:v>
      </x:c>
      <x:c r="M17" s="269" t="n">
        <x:f>IF(K17="","",K17/1099511627776)</x:f>
        <x:v>0.31385346317529184</x:v>
      </x:c>
      <x:c r="N17" s="269" t="n">
        <x:f>IF(C17="仅新集群",M17,IF(C17="仅老集群",-L17,M17-L17))</x:f>
        <x:v>-0.6883796747224551</x:v>
      </x:c>
      <x:c r="O17" s="266" t="n">
        <x:f>IF(C17="两边都有",IF(L17=0,"",M17/L17-1),"")</x:f>
        <x:v>-0.6868458532177243</x:v>
      </x:c>
      <x:c r="P17" s="263" t="n">
        <x:v>21137956624262</x:v>
      </x:c>
      <x:c r="Q17" s="263" t="n">
        <x:v>6650320858436</x:v>
      </x:c>
      <x:c r="R17" s="272" t="n">
        <x:v>19.18</x:v>
      </x:c>
      <x:c r="S17" s="272" t="n">
        <x:v>19.27</x:v>
      </x:c>
      <x:c r="T17" s="272" t="n">
        <x:f>IF(C17="两边都有",S17-R17,"")</x:f>
        <x:v>0.08999999999999986</x:v>
      </x:c>
      <x:c r="U17" s="272" t="n">
        <x:v>53.84</x:v>
      </x:c>
      <x:c r="V17" s="272" t="n">
        <x:v>52.57</x:v>
      </x:c>
    </x:row>
    <x:row r="18">
      <x:c r="A18" s="37" t="n">
        <x:v>14</x:v>
      </x:c>
      <x:c r="B18" s="34" t="str">
        <x:v>endpoint_security_log_local</x:v>
      </x:c>
      <x:c r="C18" s="37" t="str">
        <x:v>两边都有</x:v>
      </x:c>
      <x:c r="D18" s="37" t="str">
        <x:f>IF(L18="","",IF(L18*1024&gt;='新集群汇总'!$B$14,"超大表",IF(L18*1024&gt;='新集群汇总'!$B$15,"大表",IF(L18*1024&gt;='新集群汇总'!$B$16,"中表","小表"))))</x:f>
        <x:v>超大表</x:v>
      </x:c>
      <x:c r="E18" s="37" t="str">
        <x:f>IF(M18="","",IF(M18*1024&gt;='新集群汇总'!$B$14,"超大表",IF(M18*1024&gt;='新集群汇总'!$B$15,"大表",IF(M18*1024&gt;='新集群汇总'!$B$16,"中表","小表"))))</x:f>
        <x:v>超大表</x:v>
      </x:c>
      <x:c r="F18" s="263" t="n">
        <x:v>5906172668</x:v>
      </x:c>
      <x:c r="G18" s="263" t="n">
        <x:v>2121525178</x:v>
      </x:c>
      <x:c r="H18" s="263" t="n">
        <x:f>IF(C18="仅新集群",G18,IF(C18="仅老集群",-F18,G18-F18))</x:f>
        <x:v>-3784647490</x:v>
      </x:c>
      <x:c r="I18" s="266" t="n">
        <x:f>IF(C18="两边都有",IF(F18=0,"",G18/F18-1),"")</x:f>
        <x:v>-0.6407952667055348</x:v>
      </x:c>
      <x:c r="J18" s="263" t="n">
        <x:v>2212049388868</x:v>
      </x:c>
      <x:c r="K18" s="263" t="n">
        <x:v>1551181489312</x:v>
      </x:c>
      <x:c r="L18" s="269" t="n">
        <x:f>IF(J18="","",J18/1099511627776)</x:f>
        <x:v>2.01184719923549</x:v>
      </x:c>
      <x:c r="M18" s="269" t="n">
        <x:f>IF(K18="","",K18/1099511627776)</x:f>
        <x:v>1.410791346017504</x:v>
      </x:c>
      <x:c r="N18" s="269" t="n">
        <x:f>IF(C18="仅新集群",M18,IF(C18="仅老集群",-L18,M18-L18))</x:f>
        <x:v>-0.6010558532179857</x:v>
      </x:c>
      <x:c r="O18" s="266" t="n">
        <x:f>IF(C18="两边都有",IF(L18=0,"",M18/L18-1),"")</x:f>
        <x:v>-0.2987582026340715</x:v>
      </x:c>
      <x:c r="P18" s="263" t="n">
        <x:v>42113323634569</x:v>
      </x:c>
      <x:c r="Q18" s="263" t="n">
        <x:v>25797997256674</x:v>
      </x:c>
      <x:c r="R18" s="272" t="n">
        <x:v>19.04</x:v>
      </x:c>
      <x:c r="S18" s="272" t="n">
        <x:v>16.63</x:v>
      </x:c>
      <x:c r="T18" s="272" t="n">
        <x:f>IF(C18="两边都有",S18-R18,"")</x:f>
        <x:v>-2.41</x:v>
      </x:c>
      <x:c r="U18" s="272" t="n">
        <x:v>374.53</x:v>
      </x:c>
      <x:c r="V18" s="272" t="n">
        <x:v>731.16</x:v>
      </x:c>
    </x:row>
    <x:row r="19">
      <x:c r="A19" s="37" t="n">
        <x:v>15</x:v>
      </x:c>
      <x:c r="B19" s="34" t="str">
        <x:v>endpoint_behavior_log_local</x:v>
      </x:c>
      <x:c r="C19" s="37" t="str">
        <x:v>两边都有</x:v>
      </x:c>
      <x:c r="D19" s="37" t="str">
        <x:f>IF(L19="","",IF(L19*1024&gt;='新集群汇总'!$B$14,"超大表",IF(L19*1024&gt;='新集群汇总'!$B$15,"大表",IF(L19*1024&gt;='新集群汇总'!$B$16,"中表","小表"))))</x:f>
        <x:v>大表</x:v>
      </x:c>
      <x:c r="E19" s="37" t="str">
        <x:f>IF(M19="","",IF(M19*1024&gt;='新集群汇总'!$B$14,"超大表",IF(M19*1024&gt;='新集群汇总'!$B$15,"大表",IF(M19*1024&gt;='新集群汇总'!$B$16,"中表","小表"))))</x:f>
        <x:v>大表</x:v>
      </x:c>
      <x:c r="F19" s="263" t="n">
        <x:v>5353875581</x:v>
      </x:c>
      <x:c r="G19" s="263" t="n">
        <x:v>6802774502</x:v>
      </x:c>
      <x:c r="H19" s="263" t="n">
        <x:f>IF(C19="仅新集群",G19,IF(C19="仅老集群",-F19,G19-F19))</x:f>
        <x:v>1448898921</x:v>
      </x:c>
      <x:c r="I19" s="266" t="n">
        <x:f>IF(C19="两边都有",IF(F19=0,"",G19/F19-1),"")</x:f>
        <x:v>0.27062618454225906</x:v>
      </x:c>
      <x:c r="J19" s="263" t="n">
        <x:v>369755519900</x:v>
      </x:c>
      <x:c r="K19" s="263" t="n">
        <x:v>622699569116</x:v>
      </x:c>
      <x:c r="L19" s="269" t="n">
        <x:f>IF(J19="","",J19/1099511627776)</x:f>
        <x:v>0.33629068630034453</x:v>
      </x:c>
      <x:c r="M19" s="269" t="n">
        <x:f>IF(K19="","",K19/1099511627776)</x:f>
        <x:v>0.5663419589072873</x:v>
      </x:c>
      <x:c r="N19" s="269" t="n">
        <x:f>IF(C19="仅新集群",M19,IF(C19="仅老集群",-L19,M19-L19))</x:f>
        <x:v>0.2300512726069428</x:v>
      </x:c>
      <x:c r="O19" s="266" t="n">
        <x:f>IF(C19="两边都有",IF(L19=0,"",M19/L19-1),"")</x:f>
        <x:v>0.6840845791413972</x:v>
      </x:c>
      <x:c r="P19" s="263" t="n">
        <x:v>15443202318515</x:v>
      </x:c>
      <x:c r="Q19" s="263" t="n">
        <x:v>13901565563798</x:v>
      </x:c>
      <x:c r="R19" s="272" t="n">
        <x:v>41.77</x:v>
      </x:c>
      <x:c r="S19" s="272" t="n">
        <x:v>22.32</x:v>
      </x:c>
      <x:c r="T19" s="272" t="n">
        <x:f>IF(C19="两边都有",S19-R19,"")</x:f>
        <x:v>-19.450000000000003</x:v>
      </x:c>
      <x:c r="U19" s="272" t="n">
        <x:v>69.06</x:v>
      </x:c>
      <x:c r="V19" s="272" t="n">
        <x:v>91.54</x:v>
      </x:c>
    </x:row>
    <x:row r="20">
      <x:c r="A20" s="37" t="n">
        <x:v>16</x:v>
      </x:c>
      <x:c r="B20" s="34" t="str">
        <x:v>rdp_log_local</x:v>
      </x:c>
      <x:c r="C20" s="37" t="str">
        <x:v>两边都有</x:v>
      </x:c>
      <x:c r="D20" s="37" t="str">
        <x:f>IF(L20="","",IF(L20*1024&gt;='新集群汇总'!$B$14,"超大表",IF(L20*1024&gt;='新集群汇总'!$B$15,"大表",IF(L20*1024&gt;='新集群汇总'!$B$16,"中表","小表"))))</x:f>
        <x:v>大表</x:v>
      </x:c>
      <x:c r="E20" s="37" t="str">
        <x:f>IF(M20="","",IF(M20*1024&gt;='新集群汇总'!$B$14,"超大表",IF(M20*1024&gt;='新集群汇总'!$B$15,"大表",IF(M20*1024&gt;='新集群汇总'!$B$16,"中表","小表"))))</x:f>
        <x:v>大表</x:v>
      </x:c>
      <x:c r="F20" s="263" t="n">
        <x:v>10489746999</x:v>
      </x:c>
      <x:c r="G20" s="263" t="n">
        <x:v>4886724951</x:v>
      </x:c>
      <x:c r="H20" s="263" t="n">
        <x:f>IF(C20="仅新集群",G20,IF(C20="仅老集群",-F20,G20-F20))</x:f>
        <x:v>-5603022048</x:v>
      </x:c>
      <x:c r="I20" s="266" t="n">
        <x:f>IF(C20="两边都有",IF(F20=0,"",G20/F20-1),"")</x:f>
        <x:v>-0.5341427251328504</x:v>
      </x:c>
      <x:c r="J20" s="263" t="n">
        <x:v>284749540701</x:v>
      </x:c>
      <x:c r="K20" s="263" t="n">
        <x:v>137724474161</x:v>
      </x:c>
      <x:c r="L20" s="269" t="n">
        <x:f>IF(J20="","",J20/1099511627776)</x:f>
        <x:v>0.2589781985998343</x:v>
      </x:c>
      <x:c r="M20" s="269" t="n">
        <x:f>IF(K20="","",K20/1099511627776)</x:f>
        <x:v>0.12525967955389206</x:v>
      </x:c>
      <x:c r="N20" s="269" t="n">
        <x:f>IF(C20="仅新集群",M20,IF(C20="仅老集群",-L20,M20-L20))</x:f>
        <x:v>-0.13371851904594223</x:v>
      </x:c>
      <x:c r="O20" s="266" t="n">
        <x:f>IF(C20="两边都有",IF(L20=0,"",M20/L20-1),"")</x:f>
        <x:v>-0.5163311806510797</x:v>
      </x:c>
      <x:c r="P20" s="263" t="n">
        <x:v>7346008414887</x:v>
      </x:c>
      <x:c r="Q20" s="263" t="n">
        <x:v>3494311994966</x:v>
      </x:c>
      <x:c r="R20" s="272" t="n">
        <x:v>25.8</x:v>
      </x:c>
      <x:c r="S20" s="272" t="n">
        <x:v>25.37</x:v>
      </x:c>
      <x:c r="T20" s="272" t="n">
        <x:f>IF(C20="两边都有",S20-R20,"")</x:f>
        <x:v>-0.4299999999999997</x:v>
      </x:c>
      <x:c r="U20" s="272" t="n">
        <x:v>27.15</x:v>
      </x:c>
      <x:c r="V20" s="272" t="n">
        <x:v>28.18</x:v>
      </x:c>
    </x:row>
    <x:row r="21">
      <x:c r="A21" s="37" t="n">
        <x:v>17</x:v>
      </x:c>
      <x:c r="B21" s="34" t="str">
        <x:v>redis_log_local</x:v>
      </x:c>
      <x:c r="C21" s="37" t="str">
        <x:v>两边都有</x:v>
      </x:c>
      <x:c r="D21" s="37" t="str">
        <x:f>IF(L21="","",IF(L21*1024&gt;='新集群汇总'!$B$14,"超大表",IF(L21*1024&gt;='新集群汇总'!$B$15,"大表",IF(L21*1024&gt;='新集群汇总'!$B$16,"中表","小表"))))</x:f>
        <x:v>大表</x:v>
      </x:c>
      <x:c r="E21" s="37" t="str">
        <x:f>IF(M21="","",IF(M21*1024&gt;='新集群汇总'!$B$14,"超大表",IF(M21*1024&gt;='新集群汇总'!$B$15,"大表",IF(M21*1024&gt;='新集群汇总'!$B$16,"中表","小表"))))</x:f>
        <x:v>大表</x:v>
      </x:c>
      <x:c r="F21" s="263" t="n">
        <x:v>9757749599</x:v>
      </x:c>
      <x:c r="G21" s="263" t="n">
        <x:v>4634751367</x:v>
      </x:c>
      <x:c r="H21" s="263" t="n">
        <x:f>IF(C21="仅新集群",G21,IF(C21="仅老集群",-F21,G21-F21))</x:f>
        <x:v>-5122998232</x:v>
      </x:c>
      <x:c r="I21" s="266" t="n">
        <x:f>IF(C21="两边都有",IF(F21=0,"",G21/F21-1),"")</x:f>
        <x:v>-0.5250184153654669</x:v>
      </x:c>
      <x:c r="J21" s="263" t="n">
        <x:v>238869169620</x:v>
      </x:c>
      <x:c r="K21" s="263" t="n">
        <x:v>113579289892</x:v>
      </x:c>
      <x:c r="L21" s="269" t="n">
        <x:f>IF(J21="","",J21/1099511627776)</x:f>
        <x:v>0.2172502441862889</x:v>
      </x:c>
      <x:c r="M21" s="269" t="n">
        <x:f>IF(K21="","",K21/1099511627776)</x:f>
        <x:v>0.1032997623879055</x:v>
      </x:c>
      <x:c r="N21" s="269" t="n">
        <x:f>IF(C21="仅新集群",M21,IF(C21="仅老集群",-L21,M21-L21))</x:f>
        <x:v>-0.11395048179838341</x:v>
      </x:c>
      <x:c r="O21" s="266" t="n">
        <x:f>IF(C21="两边都有",IF(L21=0,"",M21/L21-1),"")</x:f>
        <x:v>-0.5245125602743743</x:v>
      </x:c>
      <x:c r="P21" s="263" t="n">
        <x:v>7760874799830</x:v>
      </x:c>
      <x:c r="Q21" s="263" t="n">
        <x:v>3735455256258</x:v>
      </x:c>
      <x:c r="R21" s="272" t="n">
        <x:v>32.49</x:v>
      </x:c>
      <x:c r="S21" s="272" t="n">
        <x:v>32.89</x:v>
      </x:c>
      <x:c r="T21" s="272" t="n">
        <x:f>IF(C21="两边都有",S21-R21,"")</x:f>
        <x:v>0.3999999999999986</x:v>
      </x:c>
      <x:c r="U21" s="272" t="n">
        <x:v>24.48</x:v>
      </x:c>
      <x:c r="V21" s="272" t="n">
        <x:v>24.51</x:v>
      </x:c>
    </x:row>
    <x:row r="22">
      <x:c r="A22" s="37" t="n">
        <x:v>18</x:v>
      </x:c>
      <x:c r="B22" s="34" t="str">
        <x:v>sql_server_log_local</x:v>
      </x:c>
      <x:c r="C22" s="37" t="str">
        <x:v>两边都有</x:v>
      </x:c>
      <x:c r="D22" s="37" t="str">
        <x:f>IF(L22="","",IF(L22*1024&gt;='新集群汇总'!$B$14,"超大表",IF(L22*1024&gt;='新集群汇总'!$B$15,"大表",IF(L22*1024&gt;='新集群汇总'!$B$16,"中表","小表"))))</x:f>
        <x:v>中表</x:v>
      </x:c>
      <x:c r="E22" s="37" t="str">
        <x:f>IF(M22="","",IF(M22*1024&gt;='新集群汇总'!$B$14,"超大表",IF(M22*1024&gt;='新集群汇总'!$B$15,"大表",IF(M22*1024&gt;='新集群汇总'!$B$16,"中表","小表"))))</x:f>
        <x:v>大表</x:v>
      </x:c>
      <x:c r="F22" s="263" t="n">
        <x:v>3959201320</x:v>
      </x:c>
      <x:c r="G22" s="263" t="n">
        <x:v>6124442857</x:v>
      </x:c>
      <x:c r="H22" s="263" t="n">
        <x:f>IF(C22="仅新集群",G22,IF(C22="仅老集群",-F22,G22-F22))</x:f>
        <x:v>2165241537</x:v>
      </x:c>
      <x:c r="I22" s="266" t="n">
        <x:f>IF(C22="两边都有",IF(F22=0,"",G22/F22-1),"")</x:f>
        <x:v>0.546888466131346</x:v>
      </x:c>
      <x:c r="J22" s="263" t="n">
        <x:v>85439047220</x:v>
      </x:c>
      <x:c r="K22" s="263" t="n">
        <x:v>193455265318</x:v>
      </x:c>
      <x:c r="L22" s="269" t="n">
        <x:f>IF(J22="","",J22/1099511627776)</x:f>
        <x:v>0.07770636077111703</x:v>
      </x:c>
      <x:c r="M22" s="269" t="n">
        <x:f>IF(K22="","",K22/1099511627776)</x:f>
        <x:v>0.17594653883679712</x:v>
      </x:c>
      <x:c r="N22" s="269" t="n">
        <x:f>IF(C22="仅新集群",M22,IF(C22="仅老集群",-L22,M22-L22))</x:f>
        <x:v>0.09824017806568008</x:v>
      </x:c>
      <x:c r="O22" s="266" t="n">
        <x:f>IF(C22="两边都有",IF(L22=0,"",M22/L22-1),"")</x:f>
        <x:v>1.2642488605925726</x:v>
      </x:c>
      <x:c r="P22" s="263" t="n">
        <x:v>5478270975175</x:v>
      </x:c>
      <x:c r="Q22" s="263" t="n">
        <x:v>7915310013238</x:v>
      </x:c>
      <x:c r="R22" s="272" t="n">
        <x:v>64.12</x:v>
      </x:c>
      <x:c r="S22" s="272" t="n">
        <x:v>40.92</x:v>
      </x:c>
      <x:c r="T22" s="272" t="n">
        <x:f>IF(C22="两边都有",S22-R22,"")</x:f>
        <x:v>-23.200000000000003</x:v>
      </x:c>
      <x:c r="U22" s="272" t="n">
        <x:v>21.58</x:v>
      </x:c>
      <x:c r="V22" s="272" t="n">
        <x:v>31.59</x:v>
      </x:c>
    </x:row>
    <x:row r="23">
      <x:c r="A23" s="37" t="n">
        <x:v>19</x:v>
      </x:c>
      <x:c r="B23" s="34" t="str">
        <x:v>sip_log_local</x:v>
      </x:c>
      <x:c r="C23" s="37" t="str">
        <x:v>两边都有</x:v>
      </x:c>
      <x:c r="D23" s="37" t="str">
        <x:f>IF(L23="","",IF(L23*1024&gt;='新集群汇总'!$B$14,"超大表",IF(L23*1024&gt;='新集群汇总'!$B$15,"大表",IF(L23*1024&gt;='新集群汇总'!$B$16,"中表","小表"))))</x:f>
        <x:v>大表</x:v>
      </x:c>
      <x:c r="E23" s="37" t="str">
        <x:f>IF(M23="","",IF(M23*1024&gt;='新集群汇总'!$B$14,"超大表",IF(M23*1024&gt;='新集群汇总'!$B$15,"大表",IF(M23*1024&gt;='新集群汇总'!$B$16,"中表","小表"))))</x:f>
        <x:v>大表</x:v>
      </x:c>
      <x:c r="F23" s="263" t="n">
        <x:v>5148660905</x:v>
      </x:c>
      <x:c r="G23" s="263" t="n">
        <x:v>5993224140</x:v>
      </x:c>
      <x:c r="H23" s="263" t="n">
        <x:f>IF(C23="仅新集群",G23,IF(C23="仅老集群",-F23,G23-F23))</x:f>
        <x:v>844563235</x:v>
      </x:c>
      <x:c r="I23" s="266" t="n">
        <x:f>IF(C23="两边都有",IF(F23=0,"",G23/F23-1),"")</x:f>
        <x:v>0.16403551342443667</x:v>
      </x:c>
      <x:c r="J23" s="263" t="n">
        <x:v>287180050907</x:v>
      </x:c>
      <x:c r="K23" s="263" t="n">
        <x:v>379238388334</x:v>
      </x:c>
      <x:c r="L23" s="269" t="n">
        <x:f>IF(J23="","",J23/1099511627776)</x:f>
        <x:v>0.2611887347547963</x:v>
      </x:c>
      <x:c r="M23" s="269" t="n">
        <x:f>IF(K23="","",K23/1099511627776)</x:f>
        <x:v>0.3449153048986773</x:v>
      </x:c>
      <x:c r="N23" s="269" t="n">
        <x:f>IF(C23="仅新集群",M23,IF(C23="仅老集群",-L23,M23-L23))</x:f>
        <x:v>0.08372657014388096</x:v>
      </x:c>
      <x:c r="O23" s="266" t="n">
        <x:f>IF(C23="两边都有",IF(L23=0,"",M23/L23-1),"")</x:f>
        <x:v>0.3205596528597734</x:v>
      </x:c>
      <x:c r="P23" s="263" t="n">
        <x:v>5326369127297</x:v>
      </x:c>
      <x:c r="Q23" s="263" t="n">
        <x:v>5795599974595</x:v>
      </x:c>
      <x:c r="R23" s="272" t="n">
        <x:v>18.55</x:v>
      </x:c>
      <x:c r="S23" s="272" t="n">
        <x:v>15.28</x:v>
      </x:c>
      <x:c r="T23" s="272" t="n">
        <x:f>IF(C23="两边都有",S23-R23,"")</x:f>
        <x:v>-3.2700000000000014</x:v>
      </x:c>
      <x:c r="U23" s="272" t="n">
        <x:v>55.78</x:v>
      </x:c>
      <x:c r="V23" s="272" t="n">
        <x:v>63.28</x:v>
      </x:c>
    </x:row>
    <x:row r="24">
      <x:c r="A24" s="37" t="n">
        <x:v>20</x:v>
      </x:c>
      <x:c r="B24" s="34" t="str">
        <x:v>other_log_local</x:v>
      </x:c>
      <x:c r="C24" s="37" t="str">
        <x:v>仅老集群</x:v>
      </x:c>
      <x:c r="D24" s="37" t="str">
        <x:f>IF(L24="","",IF(L24*1024&gt;='新集群汇总'!$B$14,"超大表",IF(L24*1024&gt;='新集群汇总'!$B$15,"大表",IF(L24*1024&gt;='新集群汇总'!$B$16,"中表","小表"))))</x:f>
        <x:v>中表</x:v>
      </x:c>
      <x:c r="E24" s="37" t="str">
        <x:f>IF(M24="","",IF(M24*1024&gt;='新集群汇总'!$B$14,"超大表",IF(M24*1024&gt;='新集群汇总'!$B$15,"大表",IF(M24*1024&gt;='新集群汇总'!$B$16,"中表","小表"))))</x:f>
      </x:c>
      <x:c r="F24" s="263" t="n">
        <x:v>364615493</x:v>
      </x:c>
      <x:c r="G24" s="263"/>
      <x:c r="H24" s="263" t="n">
        <x:f>IF(C24="仅新集群",G24,IF(C24="仅老集群",-F24,G24-F24))</x:f>
        <x:v>-364615493</x:v>
      </x:c>
      <x:c r="I24" s="266" t="str">
        <x:f>IF(C24="两边都有",IF(F24=0,"",G24/F24-1),"")</x:f>
      </x:c>
      <x:c r="J24" s="263" t="n">
        <x:v>73366915203</x:v>
      </x:c>
      <x:c r="K24" s="263"/>
      <x:c r="L24" s="269" t="n">
        <x:f>IF(J24="","",J24/1099511627776)</x:f>
        <x:v>0.0667268206625522</x:v>
      </x:c>
      <x:c r="M24" s="269" t="str">
        <x:f>IF(K24="","",K24/1099511627776)</x:f>
      </x:c>
      <x:c r="N24" s="269" t="n">
        <x:f>IF(C24="仅新集群",M24,IF(C24="仅老集群",-L24,M24-L24))</x:f>
        <x:v>-0.0667268206625522</x:v>
      </x:c>
      <x:c r="O24" s="266" t="str">
        <x:f>IF(C24="两边都有",IF(L24=0,"",M24/L24-1),"")</x:f>
      </x:c>
      <x:c r="P24" s="263" t="n">
        <x:v>1694570589943</x:v>
      </x:c>
      <x:c r="Q24" s="263"/>
      <x:c r="R24" s="272" t="n">
        <x:v>23.1</x:v>
      </x:c>
      <x:c r="S24" s="272"/>
      <x:c r="T24" s="272" t="str">
        <x:f>IF(C24="两边都有",S24-R24,"")</x:f>
      </x:c>
      <x:c r="U24" s="272" t="n">
        <x:v>201.22</x:v>
      </x:c>
      <x:c r="V24" s="272"/>
    </x:row>
    <x:row r="25">
      <x:c r="A25" s="37" t="n">
        <x:v>21</x:v>
      </x:c>
      <x:c r="B25" s="34" t="str">
        <x:v>mysql_log_local</x:v>
      </x:c>
      <x:c r="C25" s="37" t="str">
        <x:v>两边都有</x:v>
      </x:c>
      <x:c r="D25" s="37" t="str">
        <x:f>IF(L25="","",IF(L25*1024&gt;='新集群汇总'!$B$14,"超大表",IF(L25*1024&gt;='新集群汇总'!$B$15,"大表",IF(L25*1024&gt;='新集群汇总'!$B$16,"中表","小表"))))</x:f>
        <x:v>大表</x:v>
      </x:c>
      <x:c r="E25" s="37" t="str">
        <x:f>IF(M25="","",IF(M25*1024&gt;='新集群汇总'!$B$14,"超大表",IF(M25*1024&gt;='新集群汇总'!$B$15,"大表",IF(M25*1024&gt;='新集群汇总'!$B$16,"中表","小表"))))</x:f>
        <x:v>大表</x:v>
      </x:c>
      <x:c r="F25" s="263" t="n">
        <x:v>8105607102</x:v>
      </x:c>
      <x:c r="G25" s="263" t="n">
        <x:v>6639528278</x:v>
      </x:c>
      <x:c r="H25" s="263" t="n">
        <x:f>IF(C25="仅新集群",G25,IF(C25="仅老集群",-F25,G25-F25))</x:f>
        <x:v>-1466078824</x:v>
      </x:c>
      <x:c r="I25" s="266" t="n">
        <x:f>IF(C25="两边都有",IF(F25=0,"",G25/F25-1),"")</x:f>
        <x:v>-0.18087217965922076</x:v>
      </x:c>
      <x:c r="J25" s="263" t="n">
        <x:v>239776721554</x:v>
      </x:c>
      <x:c r="K25" s="263" t="n">
        <x:v>172267430680</x:v>
      </x:c>
      <x:c r="L25" s="269" t="n">
        <x:f>IF(J25="","",J25/1099511627776)</x:f>
        <x:v>0.21807565786184568</x:v>
      </x:c>
      <x:c r="M25" s="269" t="n">
        <x:f>IF(K25="","",K25/1099511627776)</x:f>
        <x:v>0.1566763154914952</x:v>
      </x:c>
      <x:c r="N25" s="269" t="n">
        <x:f>IF(C25="仅新集群",M25,IF(C25="仅老集群",-L25,M25-L25))</x:f>
        <x:v>-0.061399342370350496</x:v>
      </x:c>
      <x:c r="O25" s="266" t="n">
        <x:f>IF(C25="两边都有",IF(L25=0,"",M25/L25-1),"")</x:f>
        <x:v>-0.2815506461030508</x:v>
      </x:c>
      <x:c r="P25" s="263" t="n">
        <x:v>13751438294844</x:v>
      </x:c>
      <x:c r="Q25" s="263" t="n">
        <x:v>10963966106408</x:v>
      </x:c>
      <x:c r="R25" s="272" t="n">
        <x:v>57.35</x:v>
      </x:c>
      <x:c r="S25" s="272" t="n">
        <x:v>63.65</x:v>
      </x:c>
      <x:c r="T25" s="272" t="n">
        <x:f>IF(C25="两边都有",S25-R25,"")</x:f>
        <x:v>6.299999999999997</x:v>
      </x:c>
      <x:c r="U25" s="272" t="n">
        <x:v>29.58</x:v>
      </x:c>
      <x:c r="V25" s="272" t="n">
        <x:v>25.95</x:v>
      </x:c>
    </x:row>
    <x:row r="26">
      <x:c r="A26" s="37" t="n">
        <x:v>22</x:v>
      </x:c>
      <x:c r="B26" s="34" t="str">
        <x:v>windows_event_log_local</x:v>
      </x:c>
      <x:c r="C26" s="37" t="str">
        <x:v>仅老集群</x:v>
      </x:c>
      <x:c r="D26" s="37" t="str">
        <x:f>IF(L26="","",IF(L26*1024&gt;='新集群汇总'!$B$14,"超大表",IF(L26*1024&gt;='新集群汇总'!$B$15,"大表",IF(L26*1024&gt;='新集群汇总'!$B$16,"中表","小表"))))</x:f>
        <x:v>中表</x:v>
      </x:c>
      <x:c r="E26" s="37" t="str">
        <x:f>IF(M26="","",IF(M26*1024&gt;='新集群汇总'!$B$14,"超大表",IF(M26*1024&gt;='新集群汇总'!$B$15,"大表",IF(M26*1024&gt;='新集群汇总'!$B$16,"中表","小表"))))</x:f>
      </x:c>
      <x:c r="F26" s="263" t="n">
        <x:v>601707129</x:v>
      </x:c>
      <x:c r="G26" s="263"/>
      <x:c r="H26" s="263" t="n">
        <x:f>IF(C26="仅新集群",G26,IF(C26="仅老集群",-F26,G26-F26))</x:f>
        <x:v>-601707129</x:v>
      </x:c>
      <x:c r="I26" s="266" t="str">
        <x:f>IF(C26="两边都有",IF(F26=0,"",G26/F26-1),"")</x:f>
      </x:c>
      <x:c r="J26" s="263" t="n">
        <x:v>64569764490</x:v>
      </x:c>
      <x:c r="K26" s="263"/>
      <x:c r="L26" s="269" t="n">
        <x:f>IF(J26="","",J26/1099511627776)</x:f>
        <x:v>0.05872585869838076</x:v>
      </x:c>
      <x:c r="M26" s="269" t="str">
        <x:f>IF(K26="","",K26/1099511627776)</x:f>
      </x:c>
      <x:c r="N26" s="269" t="n">
        <x:f>IF(C26="仅新集群",M26,IF(C26="仅老集群",-L26,M26-L26))</x:f>
        <x:v>-0.05872585869838076</x:v>
      </x:c>
      <x:c r="O26" s="266" t="str">
        <x:f>IF(C26="两边都有",IF(L26=0,"",M26/L26-1),"")</x:f>
      </x:c>
      <x:c r="P26" s="263" t="n">
        <x:v>1788960447308</x:v>
      </x:c>
      <x:c r="Q26" s="263"/>
      <x:c r="R26" s="272" t="n">
        <x:v>27.71</x:v>
      </x:c>
      <x:c r="S26" s="272"/>
      <x:c r="T26" s="272" t="str">
        <x:f>IF(C26="两边都有",S26-R26,"")</x:f>
      </x:c>
      <x:c r="U26" s="272" t="n">
        <x:v>107.31</x:v>
      </x:c>
      <x:c r="V26" s="272"/>
    </x:row>
    <x:row r="27">
      <x:c r="A27" s="37" t="n">
        <x:v>23</x:v>
      </x:c>
      <x:c r="B27" s="34" t="str">
        <x:v>dce_rpc_log_local</x:v>
      </x:c>
      <x:c r="C27" s="37" t="str">
        <x:v>两边都有</x:v>
      </x:c>
      <x:c r="D27" s="37" t="str">
        <x:f>IF(L27="","",IF(L27*1024&gt;='新集群汇总'!$B$14,"超大表",IF(L27*1024&gt;='新集群汇总'!$B$15,"大表",IF(L27*1024&gt;='新集群汇总'!$B$16,"中表","小表"))))</x:f>
        <x:v>中表</x:v>
      </x:c>
      <x:c r="E27" s="37" t="str">
        <x:f>IF(M27="","",IF(M27*1024&gt;='新集群汇总'!$B$14,"超大表",IF(M27*1024&gt;='新集群汇总'!$B$15,"大表",IF(M27*1024&gt;='新集群汇总'!$B$16,"中表","小表"))))</x:f>
        <x:v>中表</x:v>
      </x:c>
      <x:c r="F27" s="263" t="n">
        <x:v>3078333766</x:v>
      </x:c>
      <x:c r="G27" s="263" t="n">
        <x:v>601103520</x:v>
      </x:c>
      <x:c r="H27" s="263" t="n">
        <x:f>IF(C27="仅新集群",G27,IF(C27="仅老集群",-F27,G27-F27))</x:f>
        <x:v>-2477230246</x:v>
      </x:c>
      <x:c r="I27" s="266" t="n">
        <x:f>IF(C27="两边都有",IF(F27=0,"",G27/F27-1),"")</x:f>
        <x:v>-0.8047308818039324</x:v>
      </x:c>
      <x:c r="J27" s="263" t="n">
        <x:v>70593304143</x:v>
      </x:c>
      <x:c r="K27" s="263" t="n">
        <x:v>14315184853</x:v>
      </x:c>
      <x:c r="L27" s="269" t="n">
        <x:f>IF(J27="","",J27/1099511627776)</x:f>
        <x:v>0.0642042360987034</x:v>
      </x:c>
      <x:c r="M27" s="269" t="n">
        <x:f>IF(K27="","",K27/1099511627776)</x:f>
        <x:v>0.013019584778703575</x:v>
      </x:c>
      <x:c r="N27" s="269" t="n">
        <x:f>IF(C27="仅新集群",M27,IF(C27="仅老集群",-L27,M27-L27))</x:f>
        <x:v>-0.05118465131999983</x:v>
      </x:c>
      <x:c r="O27" s="266" t="n">
        <x:f>IF(C27="两边都有",IF(L27=0,"",M27/L27-1),"")</x:f>
        <x:v>-0.7972161095618657</x:v>
      </x:c>
      <x:c r="P27" s="263" t="n">
        <x:v>2002008663937</x:v>
      </x:c>
      <x:c r="Q27" s="263" t="n">
        <x:v>402264492121</x:v>
      </x:c>
      <x:c r="R27" s="272" t="n">
        <x:v>28.36</x:v>
      </x:c>
      <x:c r="S27" s="272" t="n">
        <x:v>28.1</x:v>
      </x:c>
      <x:c r="T27" s="272" t="n">
        <x:f>IF(C27="两边都有",S27-R27,"")</x:f>
        <x:v>-0.259999999999998</x:v>
      </x:c>
      <x:c r="U27" s="272" t="n">
        <x:v>22.93</x:v>
      </x:c>
      <x:c r="V27" s="272" t="n">
        <x:v>23.81</x:v>
      </x:c>
    </x:row>
    <x:row r="28">
      <x:c r="A28" s="37" t="n">
        <x:v>24</x:v>
      </x:c>
      <x:c r="B28" s="34" t="str">
        <x:v>ftp_log_local</x:v>
      </x:c>
      <x:c r="C28" s="37" t="str">
        <x:v>两边都有</x:v>
      </x:c>
      <x:c r="D28" s="37" t="str">
        <x:f>IF(L28="","",IF(L28*1024&gt;='新集群汇总'!$B$14,"超大表",IF(L28*1024&gt;='新集群汇总'!$B$15,"大表",IF(L28*1024&gt;='新集群汇总'!$B$16,"中表","小表"))))</x:f>
        <x:v>中表</x:v>
      </x:c>
      <x:c r="E28" s="37" t="str">
        <x:f>IF(M28="","",IF(M28*1024&gt;='新集群汇总'!$B$14,"超大表",IF(M28*1024&gt;='新集群汇总'!$B$15,"大表",IF(M28*1024&gt;='新集群汇总'!$B$16,"中表","小表"))))</x:f>
        <x:v>中表</x:v>
      </x:c>
      <x:c r="F28" s="263" t="n">
        <x:v>2596662951</x:v>
      </x:c>
      <x:c r="G28" s="263" t="n">
        <x:v>1472335385</x:v>
      </x:c>
      <x:c r="H28" s="263" t="n">
        <x:f>IF(C28="仅新集群",G28,IF(C28="仅老集群",-F28,G28-F28))</x:f>
        <x:v>-1124327566</x:v>
      </x:c>
      <x:c r="I28" s="266" t="n">
        <x:f>IF(C28="两边都有",IF(F28=0,"",G28/F28-1),"")</x:f>
        <x:v>-0.4329894126486499</x:v>
      </x:c>
      <x:c r="J28" s="263" t="n">
        <x:v>60934218770</x:v>
      </x:c>
      <x:c r="K28" s="263" t="n">
        <x:v>21162168979</x:v>
      </x:c>
      <x:c r="L28" s="269" t="n">
        <x:f>IF(J28="","",J28/1099511627776)</x:f>
        <x:v>0.055419349127987516</x:v>
      </x:c>
      <x:c r="M28" s="269" t="n">
        <x:f>IF(K28="","",K28/1099511627776)</x:f>
        <x:v>0.019246880564423918</x:v>
      </x:c>
      <x:c r="N28" s="269" t="n">
        <x:f>IF(C28="仅新集群",M28,IF(C28="仅老集群",-L28,M28-L28))</x:f>
        <x:v>-0.0361724685635636</x:v>
      </x:c>
      <x:c r="O28" s="266" t="n">
        <x:f>IF(C28="两边都有",IF(L28=0,"",M28/L28-1),"")</x:f>
        <x:v>-0.6527046804542137</x:v>
      </x:c>
      <x:c r="P28" s="263" t="n">
        <x:v>1871997769652</x:v>
      </x:c>
      <x:c r="Q28" s="263" t="n">
        <x:v>1009907554445</x:v>
      </x:c>
      <x:c r="R28" s="272" t="n">
        <x:v>30.72</x:v>
      </x:c>
      <x:c r="S28" s="272" t="n">
        <x:v>47.72</x:v>
      </x:c>
      <x:c r="T28" s="272" t="n">
        <x:f>IF(C28="两边都有",S28-R28,"")</x:f>
        <x:v>17</x:v>
      </x:c>
      <x:c r="U28" s="272" t="n">
        <x:v>23.47</x:v>
      </x:c>
      <x:c r="V28" s="272" t="n">
        <x:v>14.37</x:v>
      </x:c>
    </x:row>
    <x:row r="29">
      <x:c r="A29" s="37" t="n">
        <x:v>25</x:v>
      </x:c>
      <x:c r="B29" s="34" t="str">
        <x:v>dynamic_graph_log_local</x:v>
      </x:c>
      <x:c r="C29" s="37" t="str">
        <x:v>仅老集群</x:v>
      </x:c>
      <x:c r="D29" s="37" t="str">
        <x:f>IF(L29="","",IF(L29*1024&gt;='新集群汇总'!$B$14,"超大表",IF(L29*1024&gt;='新集群汇总'!$B$15,"大表",IF(L29*1024&gt;='新集群汇总'!$B$16,"中表","小表"))))</x:f>
        <x:v>中表</x:v>
      </x:c>
      <x:c r="E29" s="37" t="str">
        <x:f>IF(M29="","",IF(M29*1024&gt;='新集群汇总'!$B$14,"超大表",IF(M29*1024&gt;='新集群汇总'!$B$15,"大表",IF(M29*1024&gt;='新集群汇总'!$B$16,"中表","小表"))))</x:f>
      </x:c>
      <x:c r="F29" s="263" t="n">
        <x:v>5392229716</x:v>
      </x:c>
      <x:c r="G29" s="263"/>
      <x:c r="H29" s="263" t="n">
        <x:f>IF(C29="仅新集群",G29,IF(C29="仅老集群",-F29,G29-F29))</x:f>
        <x:v>-5392229716</x:v>
      </x:c>
      <x:c r="I29" s="266" t="str">
        <x:f>IF(C29="两边都有",IF(F29=0,"",G29/F29-1),"")</x:f>
      </x:c>
      <x:c r="J29" s="263" t="n">
        <x:v>39305706184</x:v>
      </x:c>
      <x:c r="K29" s="263"/>
      <x:c r="L29" s="269" t="n">
        <x:f>IF(J29="","",J29/1099511627776)</x:f>
        <x:v>0.03574833152379142</x:v>
      </x:c>
      <x:c r="M29" s="269" t="str">
        <x:f>IF(K29="","",K29/1099511627776)</x:f>
      </x:c>
      <x:c r="N29" s="269" t="n">
        <x:f>IF(C29="仅新集群",M29,IF(C29="仅老集群",-L29,M29-L29))</x:f>
        <x:v>-0.03574833152379142</x:v>
      </x:c>
      <x:c r="O29" s="266" t="str">
        <x:f>IF(C29="两边都有",IF(L29=0,"",M29/L29-1),"")</x:f>
      </x:c>
      <x:c r="P29" s="263" t="n">
        <x:v>730141028784</x:v>
      </x:c>
      <x:c r="Q29" s="263"/>
      <x:c r="R29" s="272" t="n">
        <x:v>18.58</x:v>
      </x:c>
      <x:c r="S29" s="272"/>
      <x:c r="T29" s="272" t="str">
        <x:f>IF(C29="两边都有",S29-R29,"")</x:f>
      </x:c>
      <x:c r="U29" s="272" t="n">
        <x:v>7.29</x:v>
      </x:c>
      <x:c r="V29" s="272"/>
    </x:row>
    <x:row r="30">
      <x:c r="A30" s="37" t="n">
        <x:v>26</x:v>
      </x:c>
      <x:c r="B30" s="34" t="str">
        <x:v>http_login_log_local</x:v>
      </x:c>
      <x:c r="C30" s="37" t="str">
        <x:v>两边都有</x:v>
      </x:c>
      <x:c r="D30" s="37" t="str">
        <x:f>IF(L30="","",IF(L30*1024&gt;='新集群汇总'!$B$14,"超大表",IF(L30*1024&gt;='新集群汇总'!$B$15,"大表",IF(L30*1024&gt;='新集群汇总'!$B$16,"中表","小表"))))</x:f>
        <x:v>大表</x:v>
      </x:c>
      <x:c r="E30" s="37" t="str">
        <x:f>IF(M30="","",IF(M30*1024&gt;='新集群汇总'!$B$14,"超大表",IF(M30*1024&gt;='新集群汇总'!$B$15,"大表",IF(M30*1024&gt;='新集群汇总'!$B$16,"中表","小表"))))</x:f>
        <x:v>大表</x:v>
      </x:c>
      <x:c r="F30" s="263" t="n">
        <x:v>3300822497</x:v>
      </x:c>
      <x:c r="G30" s="263" t="n">
        <x:v>909538452</x:v>
      </x:c>
      <x:c r="H30" s="263" t="n">
        <x:f>IF(C30="仅新集群",G30,IF(C30="仅老集群",-F30,G30-F30))</x:f>
        <x:v>-2391284045</x:v>
      </x:c>
      <x:c r="I30" s="266" t="n">
        <x:f>IF(C30="两边都有",IF(F30=0,"",G30/F30-1),"")</x:f>
        <x:v>-0.7244509655315767</x:v>
      </x:c>
      <x:c r="J30" s="263" t="n">
        <x:v>517509197734</x:v>
      </x:c>
      <x:c r="K30" s="263" t="n">
        <x:v>484495136129</x:v>
      </x:c>
      <x:c r="L30" s="269" t="n">
        <x:f>IF(J30="","",J30/1099511627776)</x:f>
        <x:v>0.4706718734578317</x:v>
      </x:c>
      <x:c r="M30" s="269" t="n">
        <x:f>IF(K30="","",K30/1099511627776)</x:f>
        <x:v>0.4406457593440791</x:v>
      </x:c>
      <x:c r="N30" s="269" t="n">
        <x:f>IF(C30="仅新集群",M30,IF(C30="仅老集群",-L30,M30-L30))</x:f>
        <x:v>-0.030026114113752556</x:v>
      </x:c>
      <x:c r="O30" s="266" t="n">
        <x:f>IF(C30="两边都有",IF(L30=0,"",M30/L30-1),"")</x:f>
        <x:v>-0.0637941542866437</x:v>
      </x:c>
      <x:c r="P30" s="263" t="n">
        <x:v>11626861920734</x:v>
      </x:c>
      <x:c r="Q30" s="263" t="n">
        <x:v>4800499844087</x:v>
      </x:c>
      <x:c r="R30" s="272" t="n">
        <x:v>22.47</x:v>
      </x:c>
      <x:c r="S30" s="272" t="n">
        <x:v>9.91</x:v>
      </x:c>
      <x:c r="T30" s="272" t="n">
        <x:f>IF(C30="两边都有",S30-R30,"")</x:f>
        <x:v>-12.559999999999999</x:v>
      </x:c>
      <x:c r="U30" s="272" t="n">
        <x:v>156.78</x:v>
      </x:c>
      <x:c r="V30" s="272" t="n">
        <x:v>532.68</x:v>
      </x:c>
    </x:row>
    <x:row r="31">
      <x:c r="A31" s="37" t="n">
        <x:v>27</x:v>
      </x:c>
      <x:c r="B31" s="34" t="str">
        <x:v>ztna_access_log_local</x:v>
      </x:c>
      <x:c r="C31" s="37" t="str">
        <x:v>两边都有</x:v>
      </x:c>
      <x:c r="D31" s="37" t="str">
        <x:f>IF(L31="","",IF(L31*1024&gt;='新集群汇总'!$B$14,"超大表",IF(L31*1024&gt;='新集群汇总'!$B$15,"大表",IF(L31*1024&gt;='新集群汇总'!$B$16,"中表","小表"))))</x:f>
        <x:v>中表</x:v>
      </x:c>
      <x:c r="E31" s="37" t="str">
        <x:f>IF(M31="","",IF(M31*1024&gt;='新集群汇总'!$B$14,"超大表",IF(M31*1024&gt;='新集群汇总'!$B$15,"大表",IF(M31*1024&gt;='新集群汇总'!$B$16,"中表","小表"))))</x:f>
        <x:v>小表</x:v>
      </x:c>
      <x:c r="F31" s="263" t="n">
        <x:v>242679644</x:v>
      </x:c>
      <x:c r="G31" s="263" t="n">
        <x:v>3286134</x:v>
      </x:c>
      <x:c r="H31" s="263" t="n">
        <x:f>IF(C31="仅新集群",G31,IF(C31="仅老集群",-F31,G31-F31))</x:f>
        <x:v>-239393510</x:v>
      </x:c>
      <x:c r="I31" s="266" t="n">
        <x:f>IF(C31="两边都有",IF(F31=0,"",G31/F31-1),"")</x:f>
        <x:v>-0.9864589631588548</x:v>
      </x:c>
      <x:c r="J31" s="263" t="n">
        <x:v>32605933273</x:v>
      </x:c>
      <x:c r="K31" s="263" t="n">
        <x:v>508301465</x:v>
      </x:c>
      <x:c r="L31" s="269" t="n">
        <x:f>IF(J31="","",J31/1099511627776)</x:f>
        <x:v>0.029654923558155133</x:v>
      </x:c>
      <x:c r="M31" s="269" t="n">
        <x:f>IF(K31="","",K31/1099511627776)</x:f>
        <x:v>0.0004622974893209175</x:v>
      </x:c>
      <x:c r="N31" s="269" t="n">
        <x:f>IF(C31="仅新集群",M31,IF(C31="仅老集群",-L31,M31-L31))</x:f>
        <x:v>-0.029192626068834215</x:v>
      </x:c>
      <x:c r="O31" s="266" t="n">
        <x:f>IF(C31="两边都有",IF(L31=0,"",M31/L31-1),"")</x:f>
        <x:v>-0.9844107677966418</x:v>
      </x:c>
      <x:c r="P31" s="263" t="n">
        <x:v>889467685833</x:v>
      </x:c>
      <x:c r="Q31" s="263" t="n">
        <x:v>11868997632</x:v>
      </x:c>
      <x:c r="R31" s="272" t="n">
        <x:v>27.28</x:v>
      </x:c>
      <x:c r="S31" s="272" t="n">
        <x:v>23.35</x:v>
      </x:c>
      <x:c r="T31" s="272" t="n">
        <x:f>IF(C31="两边都有",S31-R31,"")</x:f>
        <x:v>-3.9299999999999997</x:v>
      </x:c>
      <x:c r="U31" s="272" t="n">
        <x:v>134.36</x:v>
      </x:c>
      <x:c r="V31" s="272" t="n">
        <x:v>154.68</x:v>
      </x:c>
    </x:row>
    <x:row r="32">
      <x:c r="A32" s="37" t="n">
        <x:v>28</x:v>
      </x:c>
      <x:c r="B32" s="34" t="str">
        <x:v>alert_relation_log_local</x:v>
      </x:c>
      <x:c r="C32" s="37" t="str">
        <x:v>两边都有</x:v>
      </x:c>
      <x:c r="D32" s="37" t="str">
        <x:f>IF(L32="","",IF(L32*1024&gt;='新集群汇总'!$B$14,"超大表",IF(L32*1024&gt;='新集群汇总'!$B$15,"大表",IF(L32*1024&gt;='新集群汇总'!$B$16,"中表","小表"))))</x:f>
        <x:v>大表</x:v>
      </x:c>
      <x:c r="E32" s="37" t="str">
        <x:f>IF(M32="","",IF(M32*1024&gt;='新集群汇总'!$B$14,"超大表",IF(M32*1024&gt;='新集群汇总'!$B$15,"大表",IF(M32*1024&gt;='新集群汇总'!$B$16,"中表","小表"))))</x:f>
        <x:v>大表</x:v>
      </x:c>
      <x:c r="F32" s="263" t="n">
        <x:v>30121004695</x:v>
      </x:c>
      <x:c r="G32" s="263" t="n">
        <x:v>19612192583</x:v>
      </x:c>
      <x:c r="H32" s="263" t="n">
        <x:f>IF(C32="仅新集群",G32,IF(C32="仅老集群",-F32,G32-F32))</x:f>
        <x:v>-10508812112</x:v>
      </x:c>
      <x:c r="I32" s="266" t="n">
        <x:f>IF(C32="两边都有",IF(F32=0,"",G32/F32-1),"")</x:f>
        <x:v>-0.34888650688814615</x:v>
      </x:c>
      <x:c r="J32" s="263" t="n">
        <x:v>180677624026</x:v>
      </x:c>
      <x:c r="K32" s="263" t="n">
        <x:v>153772937804</x:v>
      </x:c>
      <x:c r="L32" s="269" t="n">
        <x:f>IF(J32="","",J32/1099511627776)</x:f>
        <x:v>0.16432534178056812</x:v>
      </x:c>
      <x:c r="M32" s="269" t="n">
        <x:f>IF(K32="","",K32/1099511627776)</x:f>
        <x:v>0.13985567220879602</x:v>
      </x:c>
      <x:c r="N32" s="269" t="n">
        <x:f>IF(C32="仅新集群",M32,IF(C32="仅老集群",-L32,M32-L32))</x:f>
        <x:v>-0.0244696695717721</x:v>
      </x:c>
      <x:c r="O32" s="266" t="n">
        <x:f>IF(C32="两边都有",IF(L32=0,"",M32/L32-1),"")</x:f>
        <x:v>-0.1489098961038382</x:v>
      </x:c>
      <x:c r="P32" s="263" t="n">
        <x:v>6391767286258</x:v>
      </x:c>
      <x:c r="Q32" s="263" t="n">
        <x:v>4253672283704</x:v>
      </x:c>
      <x:c r="R32" s="272" t="n">
        <x:v>35.38</x:v>
      </x:c>
      <x:c r="S32" s="272" t="n">
        <x:v>27.66</x:v>
      </x:c>
      <x:c r="T32" s="272" t="n">
        <x:f>IF(C32="两边都有",S32-R32,"")</x:f>
        <x:v>-7.720000000000002</x:v>
      </x:c>
      <x:c r="U32" s="272" t="n">
        <x:v>6</x:v>
      </x:c>
      <x:c r="V32" s="272" t="n">
        <x:v>7.84</x:v>
      </x:c>
    </x:row>
    <x:row r="33">
      <x:c r="A33" s="37" t="n">
        <x:v>29</x:v>
      </x:c>
      <x:c r="B33" s="34" t="str">
        <x:v>asset_log_local_old</x:v>
      </x:c>
      <x:c r="C33" s="37" t="str">
        <x:v>两边都有</x:v>
      </x:c>
      <x:c r="D33" s="37" t="str">
        <x:f>IF(L33="","",IF(L33*1024&gt;='新集群汇总'!$B$14,"超大表",IF(L33*1024&gt;='新集群汇总'!$B$15,"大表",IF(L33*1024&gt;='新集群汇总'!$B$16,"中表","小表"))))</x:f>
        <x:v>中表</x:v>
      </x:c>
      <x:c r="E33" s="37" t="str">
        <x:f>IF(M33="","",IF(M33*1024&gt;='新集群汇总'!$B$14,"超大表",IF(M33*1024&gt;='新集群汇总'!$B$15,"大表",IF(M33*1024&gt;='新集群汇总'!$B$16,"中表","小表"))))</x:f>
        <x:v>小表</x:v>
      </x:c>
      <x:c r="F33" s="263" t="n">
        <x:v>23339231</x:v>
      </x:c>
      <x:c r="G33" s="263" t="n">
        <x:v>26001</x:v>
      </x:c>
      <x:c r="H33" s="263" t="n">
        <x:f>IF(C33="仅新集群",G33,IF(C33="仅老集群",-F33,G33-F33))</x:f>
        <x:v>-23313230</x:v>
      </x:c>
      <x:c r="I33" s="266" t="n">
        <x:f>IF(C33="两边都有",IF(F33=0,"",G33/F33-1),"")</x:f>
        <x:v>-0.9988859530119052</x:v>
      </x:c>
      <x:c r="J33" s="263" t="n">
        <x:v>24953038214</x:v>
      </x:c>
      <x:c r="K33" s="263" t="n">
        <x:v>10974976</x:v>
      </x:c>
      <x:c r="L33" s="269" t="n">
        <x:f>IF(J33="","",J33/1099511627776)</x:f>
        <x:v>0.022694656048770412</x:v>
      </x:c>
      <x:c r="M33" s="269" t="n">
        <x:f>IF(K33="","",K33/1099511627776)</x:f>
        <x:v>0.000009981682524085045</x:v>
      </x:c>
      <x:c r="N33" s="269" t="n">
        <x:f>IF(C33="仅新集群",M33,IF(C33="仅老集群",-L33,M33-L33))</x:f>
        <x:v>-0.022684674366246327</x:v>
      </x:c>
      <x:c r="O33" s="266" t="n">
        <x:f>IF(C33="两边都有",IF(L33=0,"",M33/L33-1),"")</x:f>
        <x:v>-0.9995601747608497</x:v>
      </x:c>
      <x:c r="P33" s="263" t="n">
        <x:v>471043960564</x:v>
      </x:c>
      <x:c r="Q33" s="263" t="n">
        <x:v>169466558</x:v>
      </x:c>
      <x:c r="R33" s="272" t="n">
        <x:v>18.88</x:v>
      </x:c>
      <x:c r="S33" s="272" t="n">
        <x:v>15.44</x:v>
      </x:c>
      <x:c r="T33" s="272" t="n">
        <x:f>IF(C33="两边都有",S33-R33,"")</x:f>
        <x:v>-3.4399999999999995</x:v>
      </x:c>
      <x:c r="U33" s="272" t="n">
        <x:v>1069.15</x:v>
      </x:c>
      <x:c r="V33" s="272" t="n">
        <x:v>422.1</x:v>
      </x:c>
    </x:row>
    <x:row r="34">
      <x:c r="A34" s="37" t="n">
        <x:v>30</x:v>
      </x:c>
      <x:c r="B34" s="34" t="str">
        <x:v>dhcp_log_local</x:v>
      </x:c>
      <x:c r="C34" s="37" t="str">
        <x:v>两边都有</x:v>
      </x:c>
      <x:c r="D34" s="37" t="str">
        <x:f>IF(L34="","",IF(L34*1024&gt;='新集群汇总'!$B$14,"超大表",IF(L34*1024&gt;='新集群汇总'!$B$15,"大表",IF(L34*1024&gt;='新集群汇总'!$B$16,"中表","小表"))))</x:f>
        <x:v>大表</x:v>
      </x:c>
      <x:c r="E34" s="37" t="str">
        <x:f>IF(M34="","",IF(M34*1024&gt;='新集群汇总'!$B$14,"超大表",IF(M34*1024&gt;='新集群汇总'!$B$15,"大表",IF(M34*1024&gt;='新集群汇总'!$B$16,"中表","小表"))))</x:f>
        <x:v>大表</x:v>
      </x:c>
      <x:c r="F34" s="263" t="n">
        <x:v>8550861337</x:v>
      </x:c>
      <x:c r="G34" s="263" t="n">
        <x:v>10693387799</x:v>
      </x:c>
      <x:c r="H34" s="263" t="n">
        <x:f>IF(C34="仅新集群",G34,IF(C34="仅老集群",-F34,G34-F34))</x:f>
        <x:v>2142526462</x:v>
      </x:c>
      <x:c r="I34" s="266" t="n">
        <x:f>IF(C34="两边都有",IF(F34=0,"",G34/F34-1),"")</x:f>
        <x:v>0.25056264831815045</x:v>
      </x:c>
      <x:c r="J34" s="263" t="n">
        <x:v>296866208306</x:v>
      </x:c>
      <x:c r="K34" s="263" t="n">
        <x:v>317817311730</x:v>
      </x:c>
      <x:c r="L34" s="269" t="n">
        <x:f>IF(J34="","",J34/1099511627776)</x:f>
        <x:v>0.26999824358972546</x:v>
      </x:c>
      <x:c r="M34" s="269" t="n">
        <x:f>IF(K34="","",K34/1099511627776)</x:f>
        <x:v>0.2890531611501501</x:v>
      </x:c>
      <x:c r="N34" s="269" t="n">
        <x:f>IF(C34="仅新集群",M34,IF(C34="仅老集群",-L34,M34-L34))</x:f>
        <x:v>0.019054917560424656</x:v>
      </x:c>
      <x:c r="O34" s="266" t="n">
        <x:f>IF(C34="两边都有",IF(L34=0,"",M34/L34-1),"")</x:f>
        <x:v>0.07057422784342049</x:v>
      </x:c>
      <x:c r="P34" s="263" t="n">
        <x:v>6422790363916</x:v>
      </x:c>
      <x:c r="Q34" s="263" t="n">
        <x:v>7890678451752</x:v>
      </x:c>
      <x:c r="R34" s="272" t="n">
        <x:v>21.64</x:v>
      </x:c>
      <x:c r="S34" s="272" t="n">
        <x:v>24.83</x:v>
      </x:c>
      <x:c r="T34" s="272" t="n">
        <x:f>IF(C34="两边都有",S34-R34,"")</x:f>
        <x:v>3.1899999999999977</x:v>
      </x:c>
      <x:c r="U34" s="272" t="n">
        <x:v>34.72</x:v>
      </x:c>
      <x:c r="V34" s="272" t="n">
        <x:v>29.72</x:v>
      </x:c>
    </x:row>
    <x:row r="35">
      <x:c r="A35" s="37" t="n">
        <x:v>31</x:v>
      </x:c>
      <x:c r="B35" s="34" t="str">
        <x:v>entraid_signin_log_local</x:v>
      </x:c>
      <x:c r="C35" s="37" t="str">
        <x:v>仅老集群</x:v>
      </x:c>
      <x:c r="D35" s="37" t="str">
        <x:f>IF(L35="","",IF(L35*1024&gt;='新集群汇总'!$B$14,"超大表",IF(L35*1024&gt;='新集群汇总'!$B$15,"大表",IF(L35*1024&gt;='新集群汇总'!$B$16,"中表","小表"))))</x:f>
        <x:v>中表</x:v>
      </x:c>
      <x:c r="E35" s="37" t="str">
        <x:f>IF(M35="","",IF(M35*1024&gt;='新集群汇总'!$B$14,"超大表",IF(M35*1024&gt;='新集群汇总'!$B$15,"大表",IF(M35*1024&gt;='新集群汇总'!$B$16,"中表","小表"))))</x:f>
      </x:c>
      <x:c r="F35" s="263" t="n">
        <x:v>60886582</x:v>
      </x:c>
      <x:c r="G35" s="263"/>
      <x:c r="H35" s="263" t="n">
        <x:f>IF(C35="仅新集群",G35,IF(C35="仅老集群",-F35,G35-F35))</x:f>
        <x:v>-60886582</x:v>
      </x:c>
      <x:c r="I35" s="266" t="str">
        <x:f>IF(C35="两边都有",IF(F35=0,"",G35/F35-1),"")</x:f>
      </x:c>
      <x:c r="J35" s="263" t="n">
        <x:v>18145276379</x:v>
      </x:c>
      <x:c r="K35" s="263"/>
      <x:c r="L35" s="269" t="n">
        <x:f>IF(J35="","",J35/1099511627776)</x:f>
        <x:v>0.016503032728905964</x:v>
      </x:c>
      <x:c r="M35" s="269" t="str">
        <x:f>IF(K35="","",K35/1099511627776)</x:f>
      </x:c>
      <x:c r="N35" s="269" t="n">
        <x:f>IF(C35="仅新集群",M35,IF(C35="仅老集群",-L35,M35-L35))</x:f>
        <x:v>-0.016503032728905964</x:v>
      </x:c>
      <x:c r="O35" s="266" t="str">
        <x:f>IF(C35="两边都有",IF(L35=0,"",M35/L35-1),"")</x:f>
      </x:c>
      <x:c r="P35" s="263" t="n">
        <x:v>365993302064</x:v>
      </x:c>
      <x:c r="Q35" s="263"/>
      <x:c r="R35" s="272" t="n">
        <x:v>20.17</x:v>
      </x:c>
      <x:c r="S35" s="272"/>
      <x:c r="T35" s="272" t="str">
        <x:f>IF(C35="两边都有",S35-R35,"")</x:f>
      </x:c>
      <x:c r="U35" s="272" t="n">
        <x:v>298.02</x:v>
      </x:c>
      <x:c r="V35" s="272"/>
    </x:row>
    <x:row r="36">
      <x:c r="A36" s="37" t="n">
        <x:v>32</x:v>
      </x:c>
      <x:c r="B36" s="34" t="str">
        <x:v>onvif_log_local</x:v>
      </x:c>
      <x:c r="C36" s="37" t="str">
        <x:v>两边都有</x:v>
      </x:c>
      <x:c r="D36" s="37" t="str">
        <x:f>IF(L36="","",IF(L36*1024&gt;='新集群汇总'!$B$14,"超大表",IF(L36*1024&gt;='新集群汇总'!$B$15,"大表",IF(L36*1024&gt;='新集群汇总'!$B$16,"中表","小表"))))</x:f>
        <x:v>中表</x:v>
      </x:c>
      <x:c r="E36" s="37" t="str">
        <x:f>IF(M36="","",IF(M36*1024&gt;='新集群汇总'!$B$14,"超大表",IF(M36*1024&gt;='新集群汇总'!$B$15,"大表",IF(M36*1024&gt;='新集群汇总'!$B$16,"中表","小表"))))</x:f>
        <x:v>小表</x:v>
      </x:c>
      <x:c r="F36" s="263" t="n">
        <x:v>169368306</x:v>
      </x:c>
      <x:c r="G36" s="263" t="n">
        <x:v>11688054</x:v>
      </x:c>
      <x:c r="H36" s="263" t="n">
        <x:f>IF(C36="仅新集群",G36,IF(C36="仅老集群",-F36,G36-F36))</x:f>
        <x:v>-157680252</x:v>
      </x:c>
      <x:c r="I36" s="266" t="n">
        <x:f>IF(C36="两边都有",IF(F36=0,"",G36/F36-1),"")</x:f>
        <x:v>-0.9309903117292795</x:v>
      </x:c>
      <x:c r="J36" s="263" t="n">
        <x:v>18405776294</x:v>
      </x:c>
      <x:c r="K36" s="263" t="n">
        <x:v>1155691421</x:v>
      </x:c>
      <x:c r="L36" s="269" t="n">
        <x:f>IF(J36="","",J36/1099511627776)</x:f>
        <x:v>0.016739956021410762</x:v>
      </x:c>
      <x:c r="M36" s="269" t="n">
        <x:f>IF(K36="","",K36/1099511627776)</x:f>
        <x:v>0.0010510952242839267</x:v>
      </x:c>
      <x:c r="N36" s="269" t="n">
        <x:f>IF(C36="仅新集群",M36,IF(C36="仅老集群",-L36,M36-L36))</x:f>
        <x:v>-0.015688860797126836</x:v>
      </x:c>
      <x:c r="O36" s="266" t="n">
        <x:f>IF(C36="两边都有",IF(L36=0,"",M36/L36-1),"")</x:f>
        <x:v>-0.9372103951205395</x:v>
      </x:c>
      <x:c r="P36" s="263" t="n">
        <x:v>970330478480</x:v>
      </x:c>
      <x:c r="Q36" s="263" t="n">
        <x:v>51479087756</x:v>
      </x:c>
      <x:c r="R36" s="272" t="n">
        <x:v>52.72</x:v>
      </x:c>
      <x:c r="S36" s="272" t="n">
        <x:v>44.54</x:v>
      </x:c>
      <x:c r="T36" s="272" t="n">
        <x:f>IF(C36="两边都有",S36-R36,"")</x:f>
        <x:v>-8.18</x:v>
      </x:c>
      <x:c r="U36" s="272" t="n">
        <x:v>108.67</x:v>
      </x:c>
      <x:c r="V36" s="272" t="n">
        <x:v>98.88</x:v>
      </x:c>
    </x:row>
    <x:row r="37">
      <x:c r="A37" s="37" t="n">
        <x:v>33</x:v>
      </x:c>
      <x:c r="B37" s="34" t="str">
        <x:v>ntlm_log_local</x:v>
      </x:c>
      <x:c r="C37" s="37" t="str">
        <x:v>两边都有</x:v>
      </x:c>
      <x:c r="D37" s="37" t="str">
        <x:f>IF(L37="","",IF(L37*1024&gt;='新集群汇总'!$B$14,"超大表",IF(L37*1024&gt;='新集群汇总'!$B$15,"大表",IF(L37*1024&gt;='新集群汇总'!$B$16,"中表","小表"))))</x:f>
        <x:v>中表</x:v>
      </x:c>
      <x:c r="E37" s="37" t="str">
        <x:f>IF(M37="","",IF(M37*1024&gt;='新集群汇总'!$B$14,"超大表",IF(M37*1024&gt;='新集群汇总'!$B$15,"大表",IF(M37*1024&gt;='新集群汇总'!$B$16,"中表","小表"))))</x:f>
        <x:v>小表</x:v>
      </x:c>
      <x:c r="F37" s="263" t="n">
        <x:v>813670666</x:v>
      </x:c>
      <x:c r="G37" s="263" t="n">
        <x:v>228955033</x:v>
      </x:c>
      <x:c r="H37" s="263" t="n">
        <x:f>IF(C37="仅新集群",G37,IF(C37="仅老集群",-F37,G37-F37))</x:f>
        <x:v>-584715633</x:v>
      </x:c>
      <x:c r="I37" s="266" t="n">
        <x:f>IF(C37="两边都有",IF(F37=0,"",G37/F37-1),"")</x:f>
        <x:v>-0.7186146157565916</x:v>
      </x:c>
      <x:c r="J37" s="263" t="n">
        <x:v>18240009828</x:v>
      </x:c>
      <x:c r="K37" s="263" t="n">
        <x:v>6251777319</x:v>
      </x:c>
      <x:c r="L37" s="269" t="n">
        <x:f>IF(J37="","",J37/1099511627776)</x:f>
        <x:v>0.01658919229885214</x:v>
      </x:c>
      <x:c r="M37" s="269" t="n">
        <x:f>IF(K37="","",K37/1099511627776)</x:f>
        <x:v>0.005685958348294662</x:v>
      </x:c>
      <x:c r="N37" s="269" t="n">
        <x:f>IF(C37="仅新集群",M37,IF(C37="仅老集群",-L37,M37-L37))</x:f>
        <x:v>-0.010903233950557478</x:v>
      </x:c>
      <x:c r="O37" s="266" t="n">
        <x:f>IF(C37="两边都有",IF(L37=0,"",M37/L37-1),"")</x:f>
        <x:v>-0.657249235172945</x:v>
      </x:c>
      <x:c r="P37" s="263" t="n">
        <x:v>560285978050</x:v>
      </x:c>
      <x:c r="Q37" s="263" t="n">
        <x:v>156085526712</x:v>
      </x:c>
      <x:c r="R37" s="272" t="n">
        <x:v>30.72</x:v>
      </x:c>
      <x:c r="S37" s="272" t="n">
        <x:v>24.97</x:v>
      </x:c>
      <x:c r="T37" s="272" t="n">
        <x:f>IF(C37="两边都有",S37-R37,"")</x:f>
        <x:v>-5.75</x:v>
      </x:c>
      <x:c r="U37" s="272" t="n">
        <x:v>22.42</x:v>
      </x:c>
      <x:c r="V37" s="272" t="n">
        <x:v>27.31</x:v>
      </x:c>
    </x:row>
    <x:row r="38">
      <x:c r="A38" s="37" t="n">
        <x:v>34</x:v>
      </x:c>
      <x:c r="B38" s="34" t="str">
        <x:v>oracle_log_local</x:v>
      </x:c>
      <x:c r="C38" s="37" t="str">
        <x:v>两边都有</x:v>
      </x:c>
      <x:c r="D38" s="37" t="str">
        <x:f>IF(L38="","",IF(L38*1024&gt;='新集群汇总'!$B$14,"超大表",IF(L38*1024&gt;='新集群汇总'!$B$15,"大表",IF(L38*1024&gt;='新集群汇总'!$B$16,"中表","小表"))))</x:f>
        <x:v>中表</x:v>
      </x:c>
      <x:c r="E38" s="37" t="str">
        <x:f>IF(M38="","",IF(M38*1024&gt;='新集群汇总'!$B$14,"超大表",IF(M38*1024&gt;='新集群汇总'!$B$15,"大表",IF(M38*1024&gt;='新集群汇总'!$B$16,"中表","小表"))))</x:f>
        <x:v>中表</x:v>
      </x:c>
      <x:c r="F38" s="263" t="n">
        <x:v>3630008222</x:v>
      </x:c>
      <x:c r="G38" s="263" t="n">
        <x:v>3063032977</x:v>
      </x:c>
      <x:c r="H38" s="263" t="n">
        <x:f>IF(C38="仅新集群",G38,IF(C38="仅老集群",-F38,G38-F38))</x:f>
        <x:v>-566975245</x:v>
      </x:c>
      <x:c r="I38" s="266" t="n">
        <x:f>IF(C38="两边都有",IF(F38=0,"",G38/F38-1),"")</x:f>
        <x:v>-0.15619117377304936</x:v>
      </x:c>
      <x:c r="J38" s="263" t="n">
        <x:v>88253568745</x:v>
      </x:c>
      <x:c r="K38" s="263" t="n">
        <x:v>78403611244</x:v>
      </x:c>
      <x:c r="L38" s="269" t="n">
        <x:f>IF(J38="","",J38/1099511627776)</x:f>
        <x:v>0.0802661531861304</x:v>
      </x:c>
      <x:c r="M38" s="269" t="n">
        <x:f>IF(K38="","",K38/1099511627776)</x:f>
        <x:v>0.07130766902628238</x:v>
      </x:c>
      <x:c r="N38" s="269" t="n">
        <x:f>IF(C38="仅新集群",M38,IF(C38="仅老集群",-L38,M38-L38))</x:f>
        <x:v>-0.008958484159848012</x:v>
      </x:c>
      <x:c r="O38" s="266" t="n">
        <x:f>IF(C38="两边都有",IF(L38=0,"",M38/L38-1),"")</x:f>
        <x:v>-0.11160973591289525</x:v>
      </x:c>
      <x:c r="P38" s="263" t="n">
        <x:v>3381121253142</x:v>
      </x:c>
      <x:c r="Q38" s="263" t="n">
        <x:v>3334738939990</x:v>
      </x:c>
      <x:c r="R38" s="272" t="n">
        <x:v>38.31</x:v>
      </x:c>
      <x:c r="S38" s="272" t="n">
        <x:v>42.53</x:v>
      </x:c>
      <x:c r="T38" s="272" t="n">
        <x:f>IF(C38="两边都有",S38-R38,"")</x:f>
        <x:v>4.219999999999999</x:v>
      </x:c>
      <x:c r="U38" s="272" t="n">
        <x:v>24.31</x:v>
      </x:c>
      <x:c r="V38" s="272" t="n">
        <x:v>25.6</x:v>
      </x:c>
    </x:row>
    <x:row r="39">
      <x:c r="A39" s="37" t="n">
        <x:v>35</x:v>
      </x:c>
      <x:c r="B39" s="34" t="str">
        <x:v>ti_network_security_log_local</x:v>
      </x:c>
      <x:c r="C39" s="37" t="str">
        <x:v>两边都有</x:v>
      </x:c>
      <x:c r="D39" s="37" t="str">
        <x:f>IF(L39="","",IF(L39*1024&gt;='新集群汇总'!$B$14,"超大表",IF(L39*1024&gt;='新集群汇总'!$B$15,"大表",IF(L39*1024&gt;='新集群汇总'!$B$16,"中表","小表"))))</x:f>
        <x:v>小表</x:v>
      </x:c>
      <x:c r="E39" s="37" t="str">
        <x:f>IF(M39="","",IF(M39*1024&gt;='新集群汇总'!$B$14,"超大表",IF(M39*1024&gt;='新集群汇总'!$B$15,"大表",IF(M39*1024&gt;='新集群汇总'!$B$16,"中表","小表"))))</x:f>
        <x:v>小表</x:v>
      </x:c>
      <x:c r="F39" s="263" t="n">
        <x:v>785052456</x:v>
      </x:c>
      <x:c r="G39" s="263" t="n">
        <x:v>52501841</x:v>
      </x:c>
      <x:c r="H39" s="263" t="n">
        <x:f>IF(C39="仅新集群",G39,IF(C39="仅老集群",-F39,G39-F39))</x:f>
        <x:v>-732550615</x:v>
      </x:c>
      <x:c r="I39" s="266" t="n">
        <x:f>IF(C39="两边都有",IF(F39=0,"",G39/F39-1),"")</x:f>
        <x:v>-0.9331231427928939</x:v>
      </x:c>
      <x:c r="J39" s="263" t="n">
        <x:v>9443951250</x:v>
      </x:c>
      <x:c r="K39" s="263" t="n">
        <x:v>876543386</x:v>
      </x:c>
      <x:c r="L39" s="269" t="n">
        <x:f>IF(J39="","",J39/1099511627776)</x:f>
        <x:v>0.008589223625676823</x:v>
      </x:c>
      <x:c r="M39" s="269" t="n">
        <x:f>IF(K39="","",K39/1099511627776)</x:f>
        <x:v>0.0007972115654411027</x:v>
      </x:c>
      <x:c r="N39" s="269" t="n">
        <x:f>IF(C39="仅新集群",M39,IF(C39="仅老集群",-L39,M39-L39))</x:f>
        <x:v>-0.00779201206023572</x:v>
      </x:c>
      <x:c r="O39" s="266" t="n">
        <x:f>IF(C39="两边都有",IF(L39=0,"",M39/L39-1),"")</x:f>
        <x:v>-0.907184676964528</x:v>
      </x:c>
      <x:c r="P39" s="263" t="n">
        <x:v>24597000994</x:v>
      </x:c>
      <x:c r="Q39" s="263" t="n">
        <x:v>2106264358</x:v>
      </x:c>
      <x:c r="R39" s="272" t="n">
        <x:v>2.6</x:v>
      </x:c>
      <x:c r="S39" s="272" t="n">
        <x:v>2.4</x:v>
      </x:c>
      <x:c r="T39" s="272" t="n">
        <x:f>IF(C39="两边都有",S39-R39,"")</x:f>
        <x:v>-0.20000000000000018</x:v>
      </x:c>
      <x:c r="U39" s="272" t="n">
        <x:v>12.03</x:v>
      </x:c>
      <x:c r="V39" s="272" t="n">
        <x:v>16.7</x:v>
      </x:c>
    </x:row>
    <x:row r="40">
      <x:c r="A40" s="37" t="n">
        <x:v>36</x:v>
      </x:c>
      <x:c r="B40" s="34" t="str">
        <x:v>vpn_log_local</x:v>
      </x:c>
      <x:c r="C40" s="37" t="str">
        <x:v>两边都有</x:v>
      </x:c>
      <x:c r="D40" s="37" t="str">
        <x:f>IF(L40="","",IF(L40*1024&gt;='新集群汇总'!$B$14,"超大表",IF(L40*1024&gt;='新集群汇总'!$B$15,"大表",IF(L40*1024&gt;='新集群汇总'!$B$16,"中表","小表"))))</x:f>
        <x:v>小表</x:v>
      </x:c>
      <x:c r="E40" s="37" t="str">
        <x:f>IF(M40="","",IF(M40*1024&gt;='新集群汇总'!$B$14,"超大表",IF(M40*1024&gt;='新集群汇总'!$B$15,"大表",IF(M40*1024&gt;='新集群汇总'!$B$16,"中表","小表"))))</x:f>
        <x:v>小表</x:v>
      </x:c>
      <x:c r="F40" s="263" t="n">
        <x:v>109200543</x:v>
      </x:c>
      <x:c r="G40" s="263" t="n">
        <x:v>14884462</x:v>
      </x:c>
      <x:c r="H40" s="263" t="n">
        <x:f>IF(C40="仅新集群",G40,IF(C40="仅老集群",-F40,G40-F40))</x:f>
        <x:v>-94316081</x:v>
      </x:c>
      <x:c r="I40" s="266" t="n">
        <x:f>IF(C40="两边都有",IF(F40=0,"",G40/F40-1),"")</x:f>
        <x:v>-0.8636960807053862</x:v>
      </x:c>
      <x:c r="J40" s="263" t="n">
        <x:v>7269651660</x:v>
      </x:c>
      <x:c r="K40" s="263" t="n">
        <x:v>431954074</x:v>
      </x:c>
      <x:c r="L40" s="269" t="n">
        <x:f>IF(J40="","",J40/1099511627776)</x:f>
        <x:v>0.006611709668504773</x:v>
      </x:c>
      <x:c r="M40" s="269" t="n">
        <x:f>IF(K40="","",K40/1099511627776)</x:f>
        <x:v>0.0003928599417122314</x:v>
      </x:c>
      <x:c r="N40" s="269" t="n">
        <x:f>IF(C40="仅新集群",M40,IF(C40="仅老集群",-L40,M40-L40))</x:f>
        <x:v>-0.006218849726792541</x:v>
      </x:c>
      <x:c r="O40" s="266" t="n">
        <x:f>IF(C40="两边都有",IF(L40=0,"",M40/L40-1),"")</x:f>
        <x:v>-0.9405811868020097</x:v>
      </x:c>
      <x:c r="P40" s="263" t="n">
        <x:v>154096465984</x:v>
      </x:c>
      <x:c r="Q40" s="263" t="n">
        <x:v>13570189803</x:v>
      </x:c>
      <x:c r="R40" s="272" t="n">
        <x:v>21.2</x:v>
      </x:c>
      <x:c r="S40" s="272" t="n">
        <x:v>31.42</x:v>
      </x:c>
      <x:c r="T40" s="272" t="n">
        <x:f>IF(C40="两边都有",S40-R40,"")</x:f>
        <x:v>10.220000000000002</x:v>
      </x:c>
      <x:c r="U40" s="272" t="n">
        <x:v>66.57</x:v>
      </x:c>
      <x:c r="V40" s="272" t="n">
        <x:v>29.02</x:v>
      </x:c>
    </x:row>
    <x:row r="41">
      <x:c r="A41" s="37" t="n">
        <x:v>37</x:v>
      </x:c>
      <x:c r="B41" s="34" t="str">
        <x:v>weak_log_local</x:v>
      </x:c>
      <x:c r="C41" s="37" t="str">
        <x:v>两边都有</x:v>
      </x:c>
      <x:c r="D41" s="37" t="str">
        <x:f>IF(L41="","",IF(L41*1024&gt;='新集群汇总'!$B$14,"超大表",IF(L41*1024&gt;='新集群汇总'!$B$15,"大表",IF(L41*1024&gt;='新集群汇总'!$B$16,"中表","小表"))))</x:f>
        <x:v>小表</x:v>
      </x:c>
      <x:c r="E41" s="37" t="str">
        <x:f>IF(M41="","",IF(M41*1024&gt;='新集群汇总'!$B$14,"超大表",IF(M41*1024&gt;='新集群汇总'!$B$15,"大表",IF(M41*1024&gt;='新集群汇总'!$B$16,"中表","小表"))))</x:f>
        <x:v>小表</x:v>
      </x:c>
      <x:c r="F41" s="263" t="n">
        <x:v>14614659</x:v>
      </x:c>
      <x:c r="G41" s="263" t="n">
        <x:v>5223188</x:v>
      </x:c>
      <x:c r="H41" s="263" t="n">
        <x:f>IF(C41="仅新集群",G41,IF(C41="仅老集群",-F41,G41-F41))</x:f>
        <x:v>-9391471</x:v>
      </x:c>
      <x:c r="I41" s="266" t="n">
        <x:f>IF(C41="两边都有",IF(F41=0,"",G41/F41-1),"")</x:f>
        <x:v>-0.6426062352874604</x:v>
      </x:c>
      <x:c r="J41" s="263" t="n">
        <x:v>6172486015</x:v>
      </x:c>
      <x:c r="K41" s="263" t="n">
        <x:v>951613227</x:v>
      </x:c>
      <x:c r="L41" s="269" t="n">
        <x:f>IF(J41="","",J41/1099511627776)</x:f>
        <x:v>0.005613843327409995</x:v>
      </x:c>
      <x:c r="M41" s="269" t="n">
        <x:f>IF(K41="","",K41/1099511627776)</x:f>
        <x:v>0.0008654871880935389</x:v>
      </x:c>
      <x:c r="N41" s="269" t="n">
        <x:f>IF(C41="仅新集群",M41,IF(C41="仅老集群",-L41,M41-L41))</x:f>
        <x:v>-0.004748356139316456</x:v>
      </x:c>
      <x:c r="O41" s="266" t="n">
        <x:f>IF(C41="两边都有",IF(L41=0,"",M41/L41-1),"")</x:f>
        <x:v>-0.8458298285832568</x:v>
      </x:c>
      <x:c r="P41" s="263" t="n">
        <x:v>40940906746</x:v>
      </x:c>
      <x:c r="Q41" s="263" t="n">
        <x:v>6668086185</x:v>
      </x:c>
      <x:c r="R41" s="272" t="n">
        <x:v>6.63</x:v>
      </x:c>
      <x:c r="S41" s="272" t="n">
        <x:v>7.01</x:v>
      </x:c>
      <x:c r="T41" s="272" t="n">
        <x:f>IF(C41="两边都有",S41-R41,"")</x:f>
        <x:v>0.3799999999999999</x:v>
      </x:c>
      <x:c r="U41" s="272" t="n">
        <x:v>422.35</x:v>
      </x:c>
      <x:c r="V41" s="272" t="n">
        <x:v>182.19</x:v>
      </x:c>
    </x:row>
    <x:row r="42">
      <x:c r="A42" s="37" t="n">
        <x:v>38</x:v>
      </x:c>
      <x:c r="B42" s="34" t="str">
        <x:v>count_log_local</x:v>
      </x:c>
      <x:c r="C42" s="37" t="str">
        <x:v>两边都有</x:v>
      </x:c>
      <x:c r="D42" s="37" t="str">
        <x:f>IF(L42="","",IF(L42*1024&gt;='新集群汇总'!$B$14,"超大表",IF(L42*1024&gt;='新集群汇总'!$B$15,"大表",IF(L42*1024&gt;='新集群汇总'!$B$16,"中表","小表"))))</x:f>
        <x:v>小表</x:v>
      </x:c>
      <x:c r="E42" s="37" t="str">
        <x:f>IF(M42="","",IF(M42*1024&gt;='新集群汇总'!$B$14,"超大表",IF(M42*1024&gt;='新集群汇总'!$B$15,"大表",IF(M42*1024&gt;='新集群汇总'!$B$16,"中表","小表"))))</x:f>
        <x:v>小表</x:v>
      </x:c>
      <x:c r="F42" s="263" t="n">
        <x:v>1385808146</x:v>
      </x:c>
      <x:c r="G42" s="263" t="n">
        <x:v>396817205</x:v>
      </x:c>
      <x:c r="H42" s="263" t="n">
        <x:f>IF(C42="仅新集群",G42,IF(C42="仅老集群",-F42,G42-F42))</x:f>
        <x:v>-988990941</x:v>
      </x:c>
      <x:c r="I42" s="266" t="n">
        <x:f>IF(C42="两边都有",IF(F42=0,"",G42/F42-1),"")</x:f>
        <x:v>-0.7136564638147249</x:v>
      </x:c>
      <x:c r="J42" s="263" t="n">
        <x:v>4442638051</x:v>
      </x:c>
      <x:c r="K42" s="263" t="n">
        <x:v>1275490543</x:v>
      </x:c>
      <x:c r="L42" s="269" t="n">
        <x:f>IF(J42="","",J42/1099511627776)</x:f>
        <x:v>0.004040555769279308</x:v>
      </x:c>
      <x:c r="M42" s="269" t="n">
        <x:f>IF(K42="","",K42/1099511627776)</x:f>
        <x:v>0.0011600518910199753</x:v>
      </x:c>
      <x:c r="N42" s="269" t="n">
        <x:f>IF(C42="仅新集群",M42,IF(C42="仅老集群",-L42,M42-L42))</x:f>
        <x:v>-0.002880503878259333</x:v>
      </x:c>
      <x:c r="O42" s="266" t="n">
        <x:f>IF(C42="两边都有",IF(L42=0,"",M42/L42-1),"")</x:f>
        <x:v>-0.7128979384865941</x:v>
      </x:c>
      <x:c r="P42" s="263" t="n">
        <x:v>35950449825</x:v>
      </x:c>
      <x:c r="Q42" s="263" t="n">
        <x:v>10302211405</x:v>
      </x:c>
      <x:c r="R42" s="272" t="n">
        <x:v>8.09</x:v>
      </x:c>
      <x:c r="S42" s="272" t="n">
        <x:v>8.08</x:v>
      </x:c>
      <x:c r="T42" s="272" t="n">
        <x:f>IF(C42="两边都有",S42-R42,"")</x:f>
        <x:v>-0.009999999999999787</x:v>
      </x:c>
      <x:c r="U42" s="272" t="n">
        <x:v>3.21</x:v>
      </x:c>
      <x:c r="V42" s="272" t="n">
        <x:v>3.21</x:v>
      </x:c>
    </x:row>
    <x:row r="43">
      <x:c r="A43" s="37" t="n">
        <x:v>39</x:v>
      </x:c>
      <x:c r="B43" s="34" t="str">
        <x:v>ssh_log_local</x:v>
      </x:c>
      <x:c r="C43" s="37" t="str">
        <x:v>两边都有</x:v>
      </x:c>
      <x:c r="D43" s="37" t="str">
        <x:f>IF(L43="","",IF(L43*1024&gt;='新集群汇总'!$B$14,"超大表",IF(L43*1024&gt;='新集群汇总'!$B$15,"大表",IF(L43*1024&gt;='新集群汇总'!$B$16,"中表","小表"))))</x:f>
        <x:v>小表</x:v>
      </x:c>
      <x:c r="E43" s="37" t="str">
        <x:f>IF(M43="","",IF(M43*1024&gt;='新集群汇总'!$B$14,"超大表",IF(M43*1024&gt;='新集群汇总'!$B$15,"大表",IF(M43*1024&gt;='新集群汇总'!$B$16,"中表","小表"))))</x:f>
        <x:v>小表</x:v>
      </x:c>
      <x:c r="F43" s="263" t="n">
        <x:v>94429883</x:v>
      </x:c>
      <x:c r="G43" s="263" t="n">
        <x:v>117569669</x:v>
      </x:c>
      <x:c r="H43" s="263" t="n">
        <x:f>IF(C43="仅新集群",G43,IF(C43="仅老集群",-F43,G43-F43))</x:f>
        <x:v>23139786</x:v>
      </x:c>
      <x:c r="I43" s="266" t="n">
        <x:f>IF(C43="两边都有",IF(F43=0,"",G43/F43-1),"")</x:f>
        <x:v>0.24504728021319266</x:v>
      </x:c>
      <x:c r="J43" s="263" t="n">
        <x:v>8058386378</x:v>
      </x:c>
      <x:c r="K43" s="263" t="n">
        <x:v>10213287412</x:v>
      </x:c>
      <x:c r="L43" s="269" t="n">
        <x:f>IF(J43="","",J43/1099511627776)</x:f>
        <x:v>0.007329059715630137</x:v>
      </x:c>
      <x:c r="M43" s="269" t="n">
        <x:f>IF(K43="","",K43/1099511627776)</x:f>
        <x:v>0.009288930788898142</x:v>
      </x:c>
      <x:c r="N43" s="269" t="n">
        <x:f>IF(C43="仅新集群",M43,IF(C43="仅老集群",-L43,M43-L43))</x:f>
        <x:v>0.0019598710732680047</x:v>
      </x:c>
      <x:c r="O43" s="266" t="n">
        <x:f>IF(C43="两边都有",IF(L43=0,"",M43/L43-1),"")</x:f>
        <x:v>0.26741098439794864</x:v>
      </x:c>
      <x:c r="P43" s="263" t="n">
        <x:v>128614141363</x:v>
      </x:c>
      <x:c r="Q43" s="263" t="n">
        <x:v>149397996440</x:v>
      </x:c>
      <x:c r="R43" s="272" t="n">
        <x:v>15.96</x:v>
      </x:c>
      <x:c r="S43" s="272" t="n">
        <x:v>14.63</x:v>
      </x:c>
      <x:c r="T43" s="272" t="n">
        <x:f>IF(C43="两边都有",S43-R43,"")</x:f>
        <x:v>-1.33</x:v>
      </x:c>
      <x:c r="U43" s="272" t="n">
        <x:v>85.34</x:v>
      </x:c>
      <x:c r="V43" s="272" t="n">
        <x:v>86.87</x:v>
      </x:c>
    </x:row>
    <x:row r="44">
      <x:c r="A44" s="37" t="n">
        <x:v>40</x:v>
      </x:c>
      <x:c r="B44" s="34" t="str">
        <x:v>pgsql_login_log_local</x:v>
      </x:c>
      <x:c r="C44" s="37" t="str">
        <x:v>两边都有</x:v>
      </x:c>
      <x:c r="D44" s="37" t="str">
        <x:f>IF(L44="","",IF(L44*1024&gt;='新集群汇总'!$B$14,"超大表",IF(L44*1024&gt;='新集群汇总'!$B$15,"大表",IF(L44*1024&gt;='新集群汇总'!$B$16,"中表","小表"))))</x:f>
        <x:v>小表</x:v>
      </x:c>
      <x:c r="E44" s="37" t="str">
        <x:f>IF(M44="","",IF(M44*1024&gt;='新集群汇总'!$B$14,"超大表",IF(M44*1024&gt;='新集群汇总'!$B$15,"大表",IF(M44*1024&gt;='新集群汇总'!$B$16,"中表","小表"))))</x:f>
        <x:v>小表</x:v>
      </x:c>
      <x:c r="F44" s="263" t="n">
        <x:v>39632089</x:v>
      </x:c>
      <x:c r="G44" s="263" t="n">
        <x:v>17585184</x:v>
      </x:c>
      <x:c r="H44" s="263" t="n">
        <x:f>IF(C44="仅新集群",G44,IF(C44="仅老集群",-F44,G44-F44))</x:f>
        <x:v>-22046905</x:v>
      </x:c>
      <x:c r="I44" s="266" t="n">
        <x:f>IF(C44="两边都有",IF(F44=0,"",G44/F44-1),"")</x:f>
        <x:v>-0.5562892483411611</x:v>
      </x:c>
      <x:c r="J44" s="263" t="n">
        <x:v>4891561493</x:v>
      </x:c>
      <x:c r="K44" s="263" t="n">
        <x:v>3404019004</x:v>
      </x:c>
      <x:c r="L44" s="269" t="n">
        <x:f>IF(J44="","",J44/1099511627776)</x:f>
        <x:v>0.004448849261279975</x:v>
      </x:c>
      <x:c r="M44" s="269" t="n">
        <x:f>IF(K44="","",K44/1099511627776)</x:f>
        <x:v>0.00309593724887236</x:v>
      </x:c>
      <x:c r="N44" s="269" t="n">
        <x:f>IF(C44="仅新集群",M44,IF(C44="仅老集群",-L44,M44-L44))</x:f>
        <x:v>-0.0013529120124076144</x:v>
      </x:c>
      <x:c r="O44" s="266" t="n">
        <x:f>IF(C44="两边都有",IF(L44=0,"",M44/L44-1),"")</x:f>
        <x:v>-0.30410381043532353</x:v>
      </x:c>
      <x:c r="P44" s="263" t="n">
        <x:v>50356657595</x:v>
      </x:c>
      <x:c r="Q44" s="263" t="n">
        <x:v>27359734213</x:v>
      </x:c>
      <x:c r="R44" s="272" t="n">
        <x:v>10.29</x:v>
      </x:c>
      <x:c r="S44" s="272" t="n">
        <x:v>8.04</x:v>
      </x:c>
      <x:c r="T44" s="272" t="n">
        <x:f>IF(C44="两边都有",S44-R44,"")</x:f>
        <x:v>-2.25</x:v>
      </x:c>
      <x:c r="U44" s="272" t="n">
        <x:v>123.42</x:v>
      </x:c>
      <x:c r="V44" s="272" t="n">
        <x:v>193.57</x:v>
      </x:c>
    </x:row>
    <x:row r="45">
      <x:c r="A45" s="37" t="n">
        <x:v>41</x:v>
      </x:c>
      <x:c r="B45" s="34" t="str">
        <x:v>datalake_report_log_local</x:v>
      </x:c>
      <x:c r="C45" s="37" t="str">
        <x:v>两边都有</x:v>
      </x:c>
      <x:c r="D45" s="37" t="str">
        <x:f>IF(L45="","",IF(L45*1024&gt;='新集群汇总'!$B$14,"超大表",IF(L45*1024&gt;='新集群汇总'!$B$15,"大表",IF(L45*1024&gt;='新集群汇总'!$B$16,"中表","小表"))))</x:f>
        <x:v>小表</x:v>
      </x:c>
      <x:c r="E45" s="37" t="str">
        <x:f>IF(M45="","",IF(M45*1024&gt;='新集群汇总'!$B$14,"超大表",IF(M45*1024&gt;='新集群汇总'!$B$15,"大表",IF(M45*1024&gt;='新集群汇总'!$B$16,"中表","小表"))))</x:f>
        <x:v>小表</x:v>
      </x:c>
      <x:c r="F45" s="263" t="n">
        <x:v>83588079</x:v>
      </x:c>
      <x:c r="G45" s="263" t="n">
        <x:v>42506947</x:v>
      </x:c>
      <x:c r="H45" s="263" t="n">
        <x:f>IF(C45="仅新集群",G45,IF(C45="仅老集群",-F45,G45-F45))</x:f>
        <x:v>-41081132</x:v>
      </x:c>
      <x:c r="I45" s="266" t="n">
        <x:f>IF(C45="两边都有",IF(F45=0,"",G45/F45-1),"")</x:f>
        <x:v>-0.49147118215266083</x:v>
      </x:c>
      <x:c r="J45" s="263" t="n">
        <x:v>2985716765</x:v>
      </x:c>
      <x:c r="K45" s="263" t="n">
        <x:v>1526257580</x:v>
      </x:c>
      <x:c r="L45" s="269" t="n">
        <x:f>IF(J45="","",J45/1099511627776)</x:f>
        <x:v>0.002715493578762107</x:v>
      </x:c>
      <x:c r="M45" s="269" t="n">
        <x:f>IF(K45="","",K45/1099511627776)</x:f>
        <x:v>0.0013881231825507712</x:v>
      </x:c>
      <x:c r="N45" s="269" t="n">
        <x:f>IF(C45="仅新集群",M45,IF(C45="仅老集群",-L45,M45-L45))</x:f>
        <x:v>-0.001327370396211336</x:v>
      </x:c>
      <x:c r="O45" s="266" t="n">
        <x:f>IF(C45="两边都有",IF(L45=0,"",M45/L45-1),"")</x:f>
        <x:v>-0.4888136751980223</x:v>
      </x:c>
      <x:c r="P45" s="263" t="n">
        <x:v>11733252137</x:v>
      </x:c>
      <x:c r="Q45" s="263" t="n">
        <x:v>6097448113</x:v>
      </x:c>
      <x:c r="R45" s="272" t="n">
        <x:v>3.93</x:v>
      </x:c>
      <x:c r="S45" s="272" t="n">
        <x:v>4</x:v>
      </x:c>
      <x:c r="T45" s="272" t="n">
        <x:f>IF(C45="两边都有",S45-R45,"")</x:f>
        <x:v>0.06999999999999984</x:v>
      </x:c>
      <x:c r="U45" s="272" t="n">
        <x:v>35.72</x:v>
      </x:c>
      <x:c r="V45" s="272" t="n">
        <x:v>35.91</x:v>
      </x:c>
    </x:row>
    <x:row r="46">
      <x:c r="A46" s="37" t="n">
        <x:v>42</x:v>
      </x:c>
      <x:c r="B46" s="34" t="str">
        <x:v>datalake_platform_log_local</x:v>
      </x:c>
      <x:c r="C46" s="37" t="str">
        <x:v>两边都有</x:v>
      </x:c>
      <x:c r="D46" s="37" t="str">
        <x:f>IF(L46="","",IF(L46*1024&gt;='新集群汇总'!$B$14,"超大表",IF(L46*1024&gt;='新集群汇总'!$B$15,"大表",IF(L46*1024&gt;='新集群汇总'!$B$16,"中表","小表"))))</x:f>
        <x:v>小表</x:v>
      </x:c>
      <x:c r="E46" s="37" t="str">
        <x:f>IF(M46="","",IF(M46*1024&gt;='新集群汇总'!$B$14,"超大表",IF(M46*1024&gt;='新集群汇总'!$B$15,"大表",IF(M46*1024&gt;='新集群汇总'!$B$16,"中表","小表"))))</x:f>
        <x:v>小表</x:v>
      </x:c>
      <x:c r="F46" s="263" t="n">
        <x:v>14710947</x:v>
      </x:c>
      <x:c r="G46" s="263" t="n">
        <x:v>8782183</x:v>
      </x:c>
      <x:c r="H46" s="263" t="n">
        <x:f>IF(C46="仅新集群",G46,IF(C46="仅老集群",-F46,G46-F46))</x:f>
        <x:v>-5928764</x:v>
      </x:c>
      <x:c r="I46" s="266" t="n">
        <x:f>IF(C46="两边都有",IF(F46=0,"",G46/F46-1),"")</x:f>
        <x:v>-0.4030171545040574</x:v>
      </x:c>
      <x:c r="J46" s="263" t="n">
        <x:v>2861859593</x:v>
      </x:c>
      <x:c r="K46" s="263" t="n">
        <x:v>4057483633</x:v>
      </x:c>
      <x:c r="L46" s="269" t="n">
        <x:f>IF(J46="","",J46/1099511627776)</x:f>
        <x:v>0.002602846137051529</x:v>
      </x:c>
      <x:c r="M46" s="269" t="n">
        <x:f>IF(K46="","",K46/1099511627776)</x:f>
        <x:v>0.0036902598667438724</x:v>
      </x:c>
      <x:c r="N46" s="269" t="n">
        <x:f>IF(C46="仅新集群",M46,IF(C46="仅老集群",-L46,M46-L46))</x:f>
        <x:v>0.0010874137296923436</x:v>
      </x:c>
      <x:c r="O46" s="266" t="n">
        <x:f>IF(C46="两边都有",IF(L46=0,"",M46/L46-1),"")</x:f>
        <x:v>0.41777872084446455</x:v>
      </x:c>
      <x:c r="P46" s="263" t="n">
        <x:v>86587477266</x:v>
      </x:c>
      <x:c r="Q46" s="263" t="n">
        <x:v>47582520900</x:v>
      </x:c>
      <x:c r="R46" s="272" t="n">
        <x:v>30.26</x:v>
      </x:c>
      <x:c r="S46" s="272" t="n">
        <x:v>11.73</x:v>
      </x:c>
      <x:c r="T46" s="272" t="n">
        <x:f>IF(C46="两边都有",S46-R46,"")</x:f>
        <x:v>-18.53</x:v>
      </x:c>
      <x:c r="U46" s="272" t="n">
        <x:v>194.54</x:v>
      </x:c>
      <x:c r="V46" s="272" t="n">
        <x:v>462.01</x:v>
      </x:c>
    </x:row>
    <x:row r="47">
      <x:c r="A47" s="37" t="n">
        <x:v>43</x:v>
      </x:c>
      <x:c r="B47" s="34" t="str">
        <x:v>check_data_device_health_log_local</x:v>
      </x:c>
      <x:c r="C47" s="37" t="str">
        <x:v>两边都有</x:v>
      </x:c>
      <x:c r="D47" s="37" t="str">
        <x:f>IF(L47="","",IF(L47*1024&gt;='新集群汇总'!$B$14,"超大表",IF(L47*1024&gt;='新集群汇总'!$B$15,"大表",IF(L47*1024&gt;='新集群汇总'!$B$16,"中表","小表"))))</x:f>
        <x:v>小表</x:v>
      </x:c>
      <x:c r="E47" s="37" t="str">
        <x:f>IF(M47="","",IF(M47*1024&gt;='新集群汇总'!$B$14,"超大表",IF(M47*1024&gt;='新集群汇总'!$B$15,"大表",IF(M47*1024&gt;='新集群汇总'!$B$16,"中表","小表"))))</x:f>
        <x:v>小表</x:v>
      </x:c>
      <x:c r="F47" s="263" t="n">
        <x:v>8220615</x:v>
      </x:c>
      <x:c r="G47" s="263" t="n">
        <x:v>3536991</x:v>
      </x:c>
      <x:c r="H47" s="263" t="n">
        <x:f>IF(C47="仅新集群",G47,IF(C47="仅老集群",-F47,G47-F47))</x:f>
        <x:v>-4683624</x:v>
      </x:c>
      <x:c r="I47" s="266" t="n">
        <x:f>IF(C47="两边都有",IF(F47=0,"",G47/F47-1),"")</x:f>
        <x:v>-0.5697413149746096</x:v>
      </x:c>
      <x:c r="J47" s="263" t="n">
        <x:v>1528251548</x:v>
      </x:c>
      <x:c r="K47" s="263" t="n">
        <x:v>662272898</x:v>
      </x:c>
      <x:c r="L47" s="269" t="n">
        <x:f>IF(J47="","",J47/1099511627776)</x:f>
        <x:v>0.001389936685882276</x:v>
      </x:c>
      <x:c r="M47" s="269" t="n">
        <x:f>IF(K47="","",K47/1099511627776)</x:f>
        <x:v>0.0006023336918588029</x:v>
      </x:c>
      <x:c r="N47" s="269" t="n">
        <x:f>IF(C47="仅新集群",M47,IF(C47="仅老集群",-L47,M47-L47))</x:f>
        <x:v>-0.000787602994023473</x:v>
      </x:c>
      <x:c r="O47" s="266" t="n">
        <x:f>IF(C47="两边都有",IF(L47=0,"",M47/L47-1),"")</x:f>
        <x:v>-0.5666466696096552</x:v>
      </x:c>
      <x:c r="P47" s="263" t="n">
        <x:v>20618424678</x:v>
      </x:c>
      <x:c r="Q47" s="263" t="n">
        <x:v>8836769450</x:v>
      </x:c>
      <x:c r="R47" s="272" t="n">
        <x:v>13.49</x:v>
      </x:c>
      <x:c r="S47" s="272" t="n">
        <x:v>13.34</x:v>
      </x:c>
      <x:c r="T47" s="272" t="n">
        <x:f>IF(C47="两边都有",S47-R47,"")</x:f>
        <x:v>-0.15000000000000036</x:v>
      </x:c>
      <x:c r="U47" s="272" t="n">
        <x:v>185.9</x:v>
      </x:c>
      <x:c r="V47" s="272" t="n">
        <x:v>187.24</x:v>
      </x:c>
    </x:row>
    <x:row r="48">
      <x:c r="A48" s="37" t="n">
        <x:v>44</x:v>
      </x:c>
      <x:c r="B48" s="34" t="str">
        <x:v>xdr_net_ops_local</x:v>
      </x:c>
      <x:c r="C48" s="37" t="str">
        <x:v>两边都有</x:v>
      </x:c>
      <x:c r="D48" s="37" t="str">
        <x:f>IF(L48="","",IF(L48*1024&gt;='新集群汇总'!$B$14,"超大表",IF(L48*1024&gt;='新集群汇总'!$B$15,"大表",IF(L48*1024&gt;='新集群汇总'!$B$16,"中表","小表"))))</x:f>
        <x:v>小表</x:v>
      </x:c>
      <x:c r="E48" s="37" t="str">
        <x:f>IF(M48="","",IF(M48*1024&gt;='新集群汇总'!$B$14,"超大表",IF(M48*1024&gt;='新集群汇总'!$B$15,"大表",IF(M48*1024&gt;='新集群汇总'!$B$16,"中表","小表"))))</x:f>
        <x:v>小表</x:v>
      </x:c>
      <x:c r="F48" s="263" t="n">
        <x:v>75249182</x:v>
      </x:c>
      <x:c r="G48" s="263" t="n">
        <x:v>37893093</x:v>
      </x:c>
      <x:c r="H48" s="263" t="n">
        <x:f>IF(C48="仅新集群",G48,IF(C48="仅老集群",-F48,G48-F48))</x:f>
        <x:v>-37356089</x:v>
      </x:c>
      <x:c r="I48" s="266" t="n">
        <x:f>IF(C48="两边都有",IF(F48=0,"",G48/F48-1),"")</x:f>
        <x:v>-0.49643182832206734</x:v>
      </x:c>
      <x:c r="J48" s="263" t="n">
        <x:v>1391893114</x:v>
      </x:c>
      <x:c r="K48" s="263" t="n">
        <x:v>669915309</x:v>
      </x:c>
      <x:c r="L48" s="269" t="n">
        <x:f>IF(J48="","",J48/1099511627776)</x:f>
        <x:v>0.0012659194126172224</x:v>
      </x:c>
      <x:c r="M48" s="269" t="n">
        <x:f>IF(K48="","",K48/1099511627776)</x:f>
        <x:v>0.0006092844241720741</x:v>
      </x:c>
      <x:c r="N48" s="269" t="n">
        <x:f>IF(C48="仅新集群",M48,IF(C48="仅老集群",-L48,M48-L48))</x:f>
        <x:v>-0.0006566349884451483</x:v>
      </x:c>
      <x:c r="O48" s="266" t="n">
        <x:f>IF(C48="两边都有",IF(L48=0,"",M48/L48-1),"")</x:f>
        <x:v>-0.518702045249144</x:v>
      </x:c>
      <x:c r="P48" s="263" t="n">
        <x:v>14850716674</x:v>
      </x:c>
      <x:c r="Q48" s="263" t="n">
        <x:v>7429722505</x:v>
      </x:c>
      <x:c r="R48" s="272" t="n">
        <x:v>10.67</x:v>
      </x:c>
      <x:c r="S48" s="272" t="n">
        <x:v>11.09</x:v>
      </x:c>
      <x:c r="T48" s="272" t="n">
        <x:f>IF(C48="两边都有",S48-R48,"")</x:f>
        <x:v>0.41999999999999993</x:v>
      </x:c>
      <x:c r="U48" s="272" t="n">
        <x:v>18.5</x:v>
      </x:c>
      <x:c r="V48" s="272" t="n">
        <x:v>17.68</x:v>
      </x:c>
    </x:row>
    <x:row r="49">
      <x:c r="A49" s="37" t="n">
        <x:v>45</x:v>
      </x:c>
      <x:c r="B49" s="34" t="str">
        <x:v>pop3_log_local</x:v>
      </x:c>
      <x:c r="C49" s="37" t="str">
        <x:v>两边都有</x:v>
      </x:c>
      <x:c r="D49" s="37" t="str">
        <x:f>IF(L49="","",IF(L49*1024&gt;='新集群汇总'!$B$14,"超大表",IF(L49*1024&gt;='新集群汇总'!$B$15,"大表",IF(L49*1024&gt;='新集群汇总'!$B$16,"中表","小表"))))</x:f>
        <x:v>小表</x:v>
      </x:c>
      <x:c r="E49" s="37" t="str">
        <x:f>IF(M49="","",IF(M49*1024&gt;='新集群汇总'!$B$14,"超大表",IF(M49*1024&gt;='新集群汇总'!$B$15,"大表",IF(M49*1024&gt;='新集群汇总'!$B$16,"中表","小表"))))</x:f>
        <x:v>小表</x:v>
      </x:c>
      <x:c r="F49" s="263" t="n">
        <x:v>6191</x:v>
      </x:c>
      <x:c r="G49" s="263" t="n">
        <x:v>504222</x:v>
      </x:c>
      <x:c r="H49" s="263" t="n">
        <x:f>IF(C49="仅新集群",G49,IF(C49="仅老集群",-F49,G49-F49))</x:f>
        <x:v>498031</x:v>
      </x:c>
      <x:c r="I49" s="266" t="n">
        <x:f>IF(C49="两边都有",IF(F49=0,"",G49/F49-1),"")</x:f>
        <x:v>80.44435470844775</x:v>
      </x:c>
      <x:c r="J49" s="263" t="n">
        <x:v>4527853</x:v>
      </x:c>
      <x:c r="K49" s="263" t="n">
        <x:v>528854136</x:v>
      </x:c>
      <x:c r="L49" s="269" t="n">
        <x:f>IF(J49="","",J49/1099511627776)</x:f>
        <x:v>0.0000041180583139066584</x:v>
      </x:c>
      <x:c r="M49" s="269" t="n">
        <x:f>IF(K49="","",K49/1099511627776)</x:f>
        <x:v>0.00048099003470269963</x:v>
      </x:c>
      <x:c r="N49" s="269" t="n">
        <x:f>IF(C49="仅新集群",M49,IF(C49="仅老集群",-L49,M49-L49))</x:f>
        <x:v>0.000476871976388793</x:v>
      </x:c>
      <x:c r="O49" s="266" t="n">
        <x:f>IF(C49="两边都有",IF(L49=0,"",M49/L49-1),"")</x:f>
        <x:v>115.80020000649314</x:v>
      </x:c>
      <x:c r="P49" s="263" t="n">
        <x:v>22173910</x:v>
      </x:c>
      <x:c r="Q49" s="263" t="n">
        <x:v>5314949058</x:v>
      </x:c>
      <x:c r="R49" s="272" t="n">
        <x:v>4.9</x:v>
      </x:c>
      <x:c r="S49" s="272" t="n">
        <x:v>10.05</x:v>
      </x:c>
      <x:c r="T49" s="272" t="n">
        <x:f>IF(C49="两边都有",S49-R49,"")</x:f>
        <x:v>5.15</x:v>
      </x:c>
      <x:c r="U49" s="272" t="n">
        <x:v>731.36</x:v>
      </x:c>
      <x:c r="V49" s="272" t="n">
        <x:v>1048.85</x:v>
      </x:c>
    </x:row>
    <x:row r="50">
      <x:c r="A50" s="37" t="n">
        <x:v>46</x:v>
      </x:c>
      <x:c r="B50" s="34" t="str">
        <x:v>imap_login_log_local</x:v>
      </x:c>
      <x:c r="C50" s="37" t="str">
        <x:v>两边都有</x:v>
      </x:c>
      <x:c r="D50" s="37" t="str">
        <x:f>IF(L50="","",IF(L50*1024&gt;='新集群汇总'!$B$14,"超大表",IF(L50*1024&gt;='新集群汇总'!$B$15,"大表",IF(L50*1024&gt;='新集群汇总'!$B$16,"中表","小表"))))</x:f>
        <x:v>小表</x:v>
      </x:c>
      <x:c r="E50" s="37" t="str">
        <x:f>IF(M50="","",IF(M50*1024&gt;='新集群汇总'!$B$14,"超大表",IF(M50*1024&gt;='新集群汇总'!$B$15,"大表",IF(M50*1024&gt;='新集群汇总'!$B$16,"中表","小表"))))</x:f>
        <x:v>小表</x:v>
      </x:c>
      <x:c r="F50" s="263" t="n">
        <x:v>13138456</x:v>
      </x:c>
      <x:c r="G50" s="263" t="n">
        <x:v>4143007</x:v>
      </x:c>
      <x:c r="H50" s="263" t="n">
        <x:f>IF(C50="仅新集群",G50,IF(C50="仅老集群",-F50,G50-F50))</x:f>
        <x:v>-8995449</x:v>
      </x:c>
      <x:c r="I50" s="266" t="n">
        <x:f>IF(C50="两边都有",IF(F50=0,"",G50/F50-1),"")</x:f>
        <x:v>-0.6846656106318734</x:v>
      </x:c>
      <x:c r="J50" s="263" t="n">
        <x:v>611645191</x:v>
      </x:c>
      <x:c r="K50" s="263" t="n">
        <x:v>140079869</x:v>
      </x:c>
      <x:c r="L50" s="269" t="n">
        <x:f>IF(J50="","",J50/1099511627776)</x:f>
        <x:v>0.0005562880605793907</x:v>
      </x:c>
      <x:c r="M50" s="269" t="n">
        <x:f>IF(K50="","",K50/1099511627776)</x:f>
        <x:v>0.00012740189868054586</x:v>
      </x:c>
      <x:c r="N50" s="269" t="n">
        <x:f>IF(C50="仅新集群",M50,IF(C50="仅老集群",-L50,M50-L50))</x:f>
        <x:v>-0.0004288861618988449</x:v>
      </x:c>
      <x:c r="O50" s="266" t="n">
        <x:f>IF(C50="两边都有",IF(L50=0,"",M50/L50-1),"")</x:f>
        <x:v>-0.770978549228878</x:v>
      </x:c>
      <x:c r="P50" s="263" t="n">
        <x:v>9817111080</x:v>
      </x:c>
      <x:c r="Q50" s="263" t="n">
        <x:v>3016350419</x:v>
      </x:c>
      <x:c r="R50" s="272" t="n">
        <x:v>16.05</x:v>
      </x:c>
      <x:c r="S50" s="272" t="n">
        <x:v>21.53</x:v>
      </x:c>
      <x:c r="T50" s="272" t="n">
        <x:f>IF(C50="两边都有",S50-R50,"")</x:f>
        <x:v>5.48</x:v>
      </x:c>
      <x:c r="U50" s="272" t="n">
        <x:v>46.55</x:v>
      </x:c>
      <x:c r="V50" s="272" t="n">
        <x:v>33.81</x:v>
      </x:c>
    </x:row>
    <x:row r="51">
      <x:c r="A51" s="37" t="n">
        <x:v>47</x:v>
      </x:c>
      <x:c r="B51" s="34" t="str">
        <x:v>file_log_local</x:v>
      </x:c>
      <x:c r="C51" s="37" t="str">
        <x:v>两边都有</x:v>
      </x:c>
      <x:c r="D51" s="37" t="str">
        <x:f>IF(L51="","",IF(L51*1024&gt;='新集群汇总'!$B$14,"超大表",IF(L51*1024&gt;='新集群汇总'!$B$15,"大表",IF(L51*1024&gt;='新集群汇总'!$B$16,"中表","小表"))))</x:f>
        <x:v>小表</x:v>
      </x:c>
      <x:c r="E51" s="37" t="str">
        <x:f>IF(M51="","",IF(M51*1024&gt;='新集群汇总'!$B$14,"超大表",IF(M51*1024&gt;='新集群汇总'!$B$15,"大表",IF(M51*1024&gt;='新集群汇总'!$B$16,"中表","小表"))))</x:f>
        <x:v>小表</x:v>
      </x:c>
      <x:c r="F51" s="263" t="n">
        <x:v>314012</x:v>
      </x:c>
      <x:c r="G51" s="263" t="n">
        <x:v>581295</x:v>
      </x:c>
      <x:c r="H51" s="263" t="n">
        <x:f>IF(C51="仅新集群",G51,IF(C51="仅老集群",-F51,G51-F51))</x:f>
        <x:v>267283</x:v>
      </x:c>
      <x:c r="I51" s="266" t="n">
        <x:f>IF(C51="两边都有",IF(F51=0,"",G51/F51-1),"")</x:f>
        <x:v>0.8511872157751934</x:v>
      </x:c>
      <x:c r="J51" s="263" t="n">
        <x:v>1749066082</x:v>
      </x:c>
      <x:c r="K51" s="263" t="n">
        <x:v>2185956874</x:v>
      </x:c>
      <x:c r="L51" s="269" t="n">
        <x:f>IF(J51="","",J51/1099511627776)</x:f>
        <x:v>0.001590766334629734</x:v>
      </x:c>
      <x:c r="M51" s="269" t="n">
        <x:f>IF(K51="","",K51/1099511627776)</x:f>
        <x:v>0.0019881161952071125</x:v>
      </x:c>
      <x:c r="N51" s="269" t="n">
        <x:f>IF(C51="仅新集群",M51,IF(C51="仅老集群",-L51,M51-L51))</x:f>
        <x:v>0.0003973498605773784</x:v>
      </x:c>
      <x:c r="O51" s="266" t="n">
        <x:f>IF(C51="两边都有",IF(L51=0,"",M51/L51-1),"")</x:f>
        <x:v>0.24978518335935584</x:v>
      </x:c>
      <x:c r="P51" s="263" t="n">
        <x:v>5232337249</x:v>
      </x:c>
      <x:c r="Q51" s="263" t="n">
        <x:v>7867089139</x:v>
      </x:c>
      <x:c r="R51" s="272" t="n">
        <x:v>2.99</x:v>
      </x:c>
      <x:c r="S51" s="272" t="n">
        <x:v>3.6</x:v>
      </x:c>
      <x:c r="T51" s="272" t="n">
        <x:f>IF(C51="两边都有",S51-R51,"")</x:f>
        <x:v>0.6099999999999999</x:v>
      </x:c>
      <x:c r="U51" s="272" t="n">
        <x:v>5570.06</x:v>
      </x:c>
      <x:c r="V51" s="272" t="n">
        <x:v>3760.49</x:v>
      </x:c>
    </x:row>
    <x:row r="52">
      <x:c r="A52" s="37" t="n">
        <x:v>48</x:v>
      </x:c>
      <x:c r="B52" s="34" t="str">
        <x:v>ldap_log_local</x:v>
      </x:c>
      <x:c r="C52" s="37" t="str">
        <x:v>两边都有</x:v>
      </x:c>
      <x:c r="D52" s="37" t="str">
        <x:f>IF(L52="","",IF(L52*1024&gt;='新集群汇总'!$B$14,"超大表",IF(L52*1024&gt;='新集群汇总'!$B$15,"大表",IF(L52*1024&gt;='新集群汇总'!$B$16,"中表","小表"))))</x:f>
        <x:v>小表</x:v>
      </x:c>
      <x:c r="E52" s="37" t="str">
        <x:f>IF(M52="","",IF(M52*1024&gt;='新集群汇总'!$B$14,"超大表",IF(M52*1024&gt;='新集群汇总'!$B$15,"大表",IF(M52*1024&gt;='新集群汇总'!$B$16,"中表","小表"))))</x:f>
        <x:v>小表</x:v>
      </x:c>
      <x:c r="F52" s="263" t="n">
        <x:v>28202545</x:v>
      </x:c>
      <x:c r="G52" s="263" t="n">
        <x:v>19115243</x:v>
      </x:c>
      <x:c r="H52" s="263" t="n">
        <x:f>IF(C52="仅新集群",G52,IF(C52="仅老集群",-F52,G52-F52))</x:f>
        <x:v>-9087302</x:v>
      </x:c>
      <x:c r="I52" s="266" t="n">
        <x:f>IF(C52="两边都有",IF(F52=0,"",G52/F52-1),"")</x:f>
        <x:v>-0.32221567237992177</x:v>
      </x:c>
      <x:c r="J52" s="263" t="n">
        <x:v>875522021</x:v>
      </x:c>
      <x:c r="K52" s="263" t="n">
        <x:v>471090238</x:v>
      </x:c>
      <x:c r="L52" s="269" t="n">
        <x:f>IF(J52="","",J52/1099511627776)</x:f>
        <x:v>0.0007962826393850264</x:v>
      </x:c>
      <x:c r="M52" s="269" t="n">
        <x:f>IF(K52="","",K52/1099511627776)</x:f>
        <x:v>0.0004284540755179478</x:v>
      </x:c>
      <x:c r="N52" s="269" t="n">
        <x:f>IF(C52="仅新集群",M52,IF(C52="仅老集群",-L52,M52-L52))</x:f>
        <x:v>-0.00036782856386707863</x:v>
      </x:c>
      <x:c r="O52" s="266" t="n">
        <x:f>IF(C52="两边都有",IF(L52=0,"",M52/L52-1),"")</x:f>
        <x:v>-0.46193216538182313</x:v>
      </x:c>
      <x:c r="P52" s="263" t="n">
        <x:v>20650115264</x:v>
      </x:c>
      <x:c r="Q52" s="263" t="n">
        <x:v>14211564989</x:v>
      </x:c>
      <x:c r="R52" s="272" t="n">
        <x:v>23.59</x:v>
      </x:c>
      <x:c r="S52" s="272" t="n">
        <x:v>30.17</x:v>
      </x:c>
      <x:c r="T52" s="272" t="n">
        <x:f>IF(C52="两边都有",S52-R52,"")</x:f>
        <x:v>6.580000000000002</x:v>
      </x:c>
      <x:c r="U52" s="272" t="n">
        <x:v>31.04</x:v>
      </x:c>
      <x:c r="V52" s="272" t="n">
        <x:v>24.64</x:v>
      </x:c>
    </x:row>
    <x:row r="53">
      <x:c r="A53" s="37" t="n">
        <x:v>49</x:v>
      </x:c>
      <x:c r="B53" s="34" t="str">
        <x:v>pop3_login_log_local</x:v>
      </x:c>
      <x:c r="C53" s="37" t="str">
        <x:v>两边都有</x:v>
      </x:c>
      <x:c r="D53" s="37" t="str">
        <x:f>IF(L53="","",IF(L53*1024&gt;='新集群汇总'!$B$14,"超大表",IF(L53*1024&gt;='新集群汇总'!$B$15,"大表",IF(L53*1024&gt;='新集群汇总'!$B$16,"中表","小表"))))</x:f>
        <x:v>小表</x:v>
      </x:c>
      <x:c r="E53" s="37" t="str">
        <x:f>IF(M53="","",IF(M53*1024&gt;='新集群汇总'!$B$14,"超大表",IF(M53*1024&gt;='新集群汇总'!$B$15,"大表",IF(M53*1024&gt;='新集群汇总'!$B$16,"中表","小表"))))</x:f>
        <x:v>小表</x:v>
      </x:c>
      <x:c r="F53" s="263" t="n">
        <x:v>13432985</x:v>
      </x:c>
      <x:c r="G53" s="263" t="n">
        <x:v>29584275</x:v>
      </x:c>
      <x:c r="H53" s="263" t="n">
        <x:f>IF(C53="仅新集群",G53,IF(C53="仅老集群",-F53,G53-F53))</x:f>
        <x:v>16151290</x:v>
      </x:c>
      <x:c r="I53" s="266" t="n">
        <x:f>IF(C53="两边都有",IF(F53=0,"",G53/F53-1),"")</x:f>
        <x:v>1.2023604582302445</x:v>
      </x:c>
      <x:c r="J53" s="263" t="n">
        <x:v>682994927</x:v>
      </x:c>
      <x:c r="K53" s="263" t="n">
        <x:v>1074885159</x:v>
      </x:c>
      <x:c r="L53" s="269" t="n">
        <x:f>IF(J53="","",J53/1099511627776)</x:f>
        <x:v>0.0006211802674442879</x:v>
      </x:c>
      <x:c r="M53" s="269" t="n">
        <x:f>IF(K53="","",K53/1099511627776)</x:f>
        <x:v>0.0009776023571248516</x:v>
      </x:c>
      <x:c r="N53" s="269" t="n">
        <x:f>IF(C53="仅新集群",M53,IF(C53="仅老集群",-L53,M53-L53))</x:f>
        <x:v>0.00035642208968056366</x:v>
      </x:c>
      <x:c r="O53" s="266" t="n">
        <x:f>IF(C53="两边都有",IF(L53=0,"",M53/L53-1),"")</x:f>
        <x:v>0.573782053874611</x:v>
      </x:c>
      <x:c r="P53" s="263" t="n">
        <x:v>9657375411</x:v>
      </x:c>
      <x:c r="Q53" s="263" t="n">
        <x:v>22235883869</x:v>
      </x:c>
      <x:c r="R53" s="272" t="n">
        <x:v>14.14</x:v>
      </x:c>
      <x:c r="S53" s="272" t="n">
        <x:v>20.69</x:v>
      </x:c>
      <x:c r="T53" s="272" t="n">
        <x:f>IF(C53="两边都有",S53-R53,"")</x:f>
        <x:v>6.550000000000001</x:v>
      </x:c>
      <x:c r="U53" s="272" t="n">
        <x:v>50.84</x:v>
      </x:c>
      <x:c r="V53" s="272" t="n">
        <x:v>36.33</x:v>
      </x:c>
    </x:row>
    <x:row r="54">
      <x:c r="A54" s="37" t="n">
        <x:v>50</x:v>
      </x:c>
      <x:c r="B54" s="34" t="str">
        <x:v>ztna_user_log_local</x:v>
      </x:c>
      <x:c r="C54" s="37" t="str">
        <x:v>两边都有</x:v>
      </x:c>
      <x:c r="D54" s="37" t="str">
        <x:f>IF(L54="","",IF(L54*1024&gt;='新集群汇总'!$B$14,"超大表",IF(L54*1024&gt;='新集群汇总'!$B$15,"大表",IF(L54*1024&gt;='新集群汇总'!$B$16,"中表","小表"))))</x:f>
        <x:v>小表</x:v>
      </x:c>
      <x:c r="E54" s="37" t="str">
        <x:f>IF(M54="","",IF(M54*1024&gt;='新集群汇总'!$B$14,"超大表",IF(M54*1024&gt;='新集群汇总'!$B$15,"大表",IF(M54*1024&gt;='新集群汇总'!$B$16,"中表","小表"))))</x:f>
        <x:v>小表</x:v>
      </x:c>
      <x:c r="F54" s="263" t="n">
        <x:v>6254899</x:v>
      </x:c>
      <x:c r="G54" s="263" t="n">
        <x:v>4329974</x:v>
      </x:c>
      <x:c r="H54" s="263" t="n">
        <x:f>IF(C54="仅新集群",G54,IF(C54="仅老集群",-F54,G54-F54))</x:f>
        <x:v>-1924925</x:v>
      </x:c>
      <x:c r="I54" s="266" t="n">
        <x:f>IF(C54="两边都有",IF(F54=0,"",G54/F54-1),"")</x:f>
        <x:v>-0.3077467757672826</x:v>
      </x:c>
      <x:c r="J54" s="263" t="n">
        <x:v>671906123</x:v>
      </x:c>
      <x:c r="K54" s="263" t="n">
        <x:v>428720954</x:v>
      </x:c>
      <x:c r="L54" s="269" t="n">
        <x:f>IF(J54="","",J54/1099511627776)</x:f>
        <x:v>0.0006110950589572894</x:v>
      </x:c>
      <x:c r="M54" s="269" t="n">
        <x:f>IF(K54="","",K54/1099511627776)</x:f>
        <x:v>0.0003899194362020353</x:v>
      </x:c>
      <x:c r="N54" s="269" t="n">
        <x:f>IF(C54="仅新集群",M54,IF(C54="仅老集群",-L54,M54-L54))</x:f>
        <x:v>-0.00022117562275525415</x:v>
      </x:c>
      <x:c r="O54" s="266" t="n">
        <x:f>IF(C54="两边都有",IF(L54=0,"",M54/L54-1),"")</x:f>
        <x:v>-0.3619332532857421</x:v>
      </x:c>
      <x:c r="P54" s="263" t="n">
        <x:v>9952002017</x:v>
      </x:c>
      <x:c r="Q54" s="263" t="n">
        <x:v>3759776832</x:v>
      </x:c>
      <x:c r="R54" s="272" t="n">
        <x:v>14.81</x:v>
      </x:c>
      <x:c r="S54" s="272" t="n">
        <x:v>8.77</x:v>
      </x:c>
      <x:c r="T54" s="272" t="n">
        <x:f>IF(C54="两边都有",S54-R54,"")</x:f>
        <x:v>-6.040000000000001</x:v>
      </x:c>
      <x:c r="U54" s="272" t="n">
        <x:v>107.42</x:v>
      </x:c>
      <x:c r="V54" s="272" t="n">
        <x:v>99.01</x:v>
      </x:c>
    </x:row>
    <x:row r="55">
      <x:c r="A55" s="37" t="n">
        <x:v>51</x:v>
      </x:c>
      <x:c r="B55" s="34" t="str">
        <x:v>ftp_login_log_local</x:v>
      </x:c>
      <x:c r="C55" s="37" t="str">
        <x:v>两边都有</x:v>
      </x:c>
      <x:c r="D55" s="37" t="str">
        <x:f>IF(L55="","",IF(L55*1024&gt;='新集群汇总'!$B$14,"超大表",IF(L55*1024&gt;='新集群汇总'!$B$15,"大表",IF(L55*1024&gt;='新集群汇总'!$B$16,"中表","小表"))))</x:f>
        <x:v>小表</x:v>
      </x:c>
      <x:c r="E55" s="37" t="str">
        <x:f>IF(M55="","",IF(M55*1024&gt;='新集群汇总'!$B$14,"超大表",IF(M55*1024&gt;='新集群汇总'!$B$15,"大表",IF(M55*1024&gt;='新集群汇总'!$B$16,"中表","小表"))))</x:f>
        <x:v>小表</x:v>
      </x:c>
      <x:c r="F55" s="263" t="n">
        <x:v>103455499</x:v>
      </x:c>
      <x:c r="G55" s="263" t="n">
        <x:v>95323743</x:v>
      </x:c>
      <x:c r="H55" s="263" t="n">
        <x:f>IF(C55="仅新集群",G55,IF(C55="仅老集群",-F55,G55-F55))</x:f>
        <x:v>-8131756</x:v>
      </x:c>
      <x:c r="I55" s="266" t="n">
        <x:f>IF(C55="两边都有",IF(F55=0,"",G55/F55-1),"")</x:f>
        <x:v>-0.07860148642267917</x:v>
      </x:c>
      <x:c r="J55" s="263" t="n">
        <x:v>2088939193</x:v>
      </x:c>
      <x:c r="K55" s="263" t="n">
        <x:v>1950087690</x:v>
      </x:c>
      <x:c r="L55" s="269" t="n">
        <x:f>IF(J55="","",J55/1099511627776)</x:f>
        <x:v>0.0018998791283593164</x:v>
      </x:c>
      <x:c r="M55" s="269" t="n">
        <x:f>IF(K55="","",K55/1099511627776)</x:f>
        <x:v>0.0017735944220476085</x:v>
      </x:c>
      <x:c r="N55" s="269" t="n">
        <x:f>IF(C55="仅新集群",M55,IF(C55="仅老集群",-L55,M55-L55))</x:f>
        <x:v>-0.00012628470631170785</x:v>
      </x:c>
      <x:c r="O55" s="266" t="n">
        <x:f>IF(C55="两边都有",IF(L55=0,"",M55/L55-1),"")</x:f>
        <x:v>-0.06646986349113893</x:v>
      </x:c>
      <x:c r="P55" s="263" t="n">
        <x:v>70416113536</x:v>
      </x:c>
      <x:c r="Q55" s="263" t="n">
        <x:v>62735809200</x:v>
      </x:c>
      <x:c r="R55" s="272" t="n">
        <x:v>33.71</x:v>
      </x:c>
      <x:c r="S55" s="272" t="n">
        <x:v>32.17</x:v>
      </x:c>
      <x:c r="T55" s="272" t="n">
        <x:f>IF(C55="两边都有",S55-R55,"")</x:f>
        <x:v>-1.5399999999999991</x:v>
      </x:c>
      <x:c r="U55" s="272" t="n">
        <x:v>20.19</x:v>
      </x:c>
      <x:c r="V55" s="272" t="n">
        <x:v>20.46</x:v>
      </x:c>
    </x:row>
    <x:row r="56">
      <x:c r="A56" s="37" t="n">
        <x:v>52</x:v>
      </x:c>
      <x:c r="B56" s="34" t="str">
        <x:v>alp_log_local</x:v>
      </x:c>
      <x:c r="C56" s="37" t="str">
        <x:v>两边都有</x:v>
      </x:c>
      <x:c r="D56" s="37" t="str">
        <x:f>IF(L56="","",IF(L56*1024&gt;='新集群汇总'!$B$14,"超大表",IF(L56*1024&gt;='新集群汇总'!$B$15,"大表",IF(L56*1024&gt;='新集群汇总'!$B$16,"中表","小表"))))</x:f>
        <x:v>小表</x:v>
      </x:c>
      <x:c r="E56" s="37" t="str">
        <x:f>IF(M56="","",IF(M56*1024&gt;='新集群汇总'!$B$14,"超大表",IF(M56*1024&gt;='新集群汇总'!$B$15,"大表",IF(M56*1024&gt;='新集群汇总'!$B$16,"中表","小表"))))</x:f>
        <x:v>小表</x:v>
      </x:c>
      <x:c r="F56" s="263" t="n">
        <x:v>2484739</x:v>
      </x:c>
      <x:c r="G56" s="263" t="n">
        <x:v>11288242</x:v>
      </x:c>
      <x:c r="H56" s="263" t="n">
        <x:f>IF(C56="仅新集群",G56,IF(C56="仅老集群",-F56,G56-F56))</x:f>
        <x:v>8803503</x:v>
      </x:c>
      <x:c r="I56" s="266" t="n">
        <x:f>IF(C56="两边都有",IF(F56=0,"",G56/F56-1),"")</x:f>
        <x:v>3.5430292678627415</x:v>
      </x:c>
      <x:c r="J56" s="263" t="n">
        <x:v>251536725</x:v>
      </x:c>
      <x:c r="K56" s="263" t="n">
        <x:v>390235220</x:v>
      </x:c>
      <x:c r="L56" s="269" t="n">
        <x:f>IF(J56="","",J56/1099511627776)</x:f>
        <x:v>0.00022877131868881406</x:v>
      </x:c>
      <x:c r="M56" s="269" t="n">
        <x:f>IF(K56="","",K56/1099511627776)</x:f>
        <x:v>0.00035491686503519304</x:v>
      </x:c>
      <x:c r="N56" s="269" t="n">
        <x:f>IF(C56="仅新集群",M56,IF(C56="仅老集群",-L56,M56-L56))</x:f>
        <x:v>0.00012614554634637898</x:v>
      </x:c>
      <x:c r="O56" s="266" t="n">
        <x:f>IF(C56="两边都有",IF(L56=0,"",M56/L56-1),"")</x:f>
        <x:v>0.5514045513632253</x:v>
      </x:c>
      <x:c r="P56" s="263" t="n">
        <x:v>2816045858</x:v>
      </x:c>
      <x:c r="Q56" s="263" t="n">
        <x:v>21264490372</x:v>
      </x:c>
      <x:c r="R56" s="272" t="n">
        <x:v>11.2</x:v>
      </x:c>
      <x:c r="S56" s="272" t="n">
        <x:v>54.49</x:v>
      </x:c>
      <x:c r="T56" s="272" t="n">
        <x:f>IF(C56="两边都有",S56-R56,"")</x:f>
        <x:v>43.290000000000006</x:v>
      </x:c>
      <x:c r="U56" s="272" t="n">
        <x:v>101.23</x:v>
      </x:c>
      <x:c r="V56" s="272" t="n">
        <x:v>34.57</x:v>
      </x:c>
    </x:row>
    <x:row r="57">
      <x:c r="A57" s="37" t="n">
        <x:v>53</x:v>
      </x:c>
      <x:c r="B57" s="34" t="str">
        <x:v>ai_security_log_local</x:v>
      </x:c>
      <x:c r="C57" s="37" t="str">
        <x:v>两边都有</x:v>
      </x:c>
      <x:c r="D57" s="37" t="str">
        <x:f>IF(L57="","",IF(L57*1024&gt;='新集群汇总'!$B$14,"超大表",IF(L57*1024&gt;='新集群汇总'!$B$15,"大表",IF(L57*1024&gt;='新集群汇总'!$B$16,"中表","小表"))))</x:f>
        <x:v>小表</x:v>
      </x:c>
      <x:c r="E57" s="37" t="str">
        <x:f>IF(M57="","",IF(M57*1024&gt;='新集群汇总'!$B$14,"超大表",IF(M57*1024&gt;='新集群汇总'!$B$15,"大表",IF(M57*1024&gt;='新集群汇总'!$B$16,"中表","小表"))))</x:f>
        <x:v>小表</x:v>
      </x:c>
      <x:c r="F57" s="263" t="n">
        <x:v>2228336</x:v>
      </x:c>
      <x:c r="G57" s="263" t="n">
        <x:v>26944</x:v>
      </x:c>
      <x:c r="H57" s="263" t="n">
        <x:f>IF(C57="仅新集群",G57,IF(C57="仅老集群",-F57,G57-F57))</x:f>
        <x:v>-2201392</x:v>
      </x:c>
      <x:c r="I57" s="266" t="n">
        <x:f>IF(C57="两边都有",IF(F57=0,"",G57/F57-1),"")</x:f>
        <x:v>-0.9879084662277143</x:v>
      </x:c>
      <x:c r="J57" s="263" t="n">
        <x:v>150994483</x:v>
      </x:c>
      <x:c r="K57" s="263" t="n">
        <x:v>12528846</x:v>
      </x:c>
      <x:c r="L57" s="269" t="n">
        <x:f>IF(J57="","",J57/1099511627776)</x:f>
        <x:v>0.00013732868228544248</x:v>
      </x:c>
      <x:c r="M57" s="269" t="n">
        <x:f>IF(K57="","",K57/1099511627776)</x:f>
        <x:v>0.000011394919056328945</x:v>
      </x:c>
      <x:c r="N57" s="269" t="n">
        <x:f>IF(C57="仅新集群",M57,IF(C57="仅老集群",-L57,M57-L57))</x:f>
        <x:v>-0.00012593376322911354</x:v>
      </x:c>
      <x:c r="O57" s="266" t="n">
        <x:f>IF(C57="两边都有",IF(L57=0,"",M57/L57-1),"")</x:f>
        <x:v>-0.9170244783049457</x:v>
      </x:c>
      <x:c r="P57" s="263" t="n">
        <x:v>3040610063</x:v>
      </x:c>
      <x:c r="Q57" s="263" t="n">
        <x:v>50366362</x:v>
      </x:c>
      <x:c r="R57" s="272" t="n">
        <x:v>20.14</x:v>
      </x:c>
      <x:c r="S57" s="272" t="n">
        <x:v>4.02</x:v>
      </x:c>
      <x:c r="T57" s="272" t="n">
        <x:f>IF(C57="两边都有",S57-R57,"")</x:f>
        <x:v>-16.12</x:v>
      </x:c>
      <x:c r="U57" s="272" t="n">
        <x:v>67.76</x:v>
      </x:c>
      <x:c r="V57" s="272" t="n">
        <x:v>465</x:v>
      </x:c>
    </x:row>
    <x:row r="58">
      <x:c r="A58" s="37" t="n">
        <x:v>54</x:v>
      </x:c>
      <x:c r="B58" s="34" t="str">
        <x:v>socks_log_local</x:v>
      </x:c>
      <x:c r="C58" s="37" t="str">
        <x:v>两边都有</x:v>
      </x:c>
      <x:c r="D58" s="37" t="str">
        <x:f>IF(L58="","",IF(L58*1024&gt;='新集群汇总'!$B$14,"超大表",IF(L58*1024&gt;='新集群汇总'!$B$15,"大表",IF(L58*1024&gt;='新集群汇总'!$B$16,"中表","小表"))))</x:f>
        <x:v>小表</x:v>
      </x:c>
      <x:c r="E58" s="37" t="str">
        <x:f>IF(M58="","",IF(M58*1024&gt;='新集群汇总'!$B$14,"超大表",IF(M58*1024&gt;='新集群汇总'!$B$15,"大表",IF(M58*1024&gt;='新集群汇总'!$B$16,"中表","小表"))))</x:f>
        <x:v>小表</x:v>
      </x:c>
      <x:c r="F58" s="263" t="n">
        <x:v>13633328</x:v>
      </x:c>
      <x:c r="G58" s="263" t="n">
        <x:v>18580720</x:v>
      </x:c>
      <x:c r="H58" s="263" t="n">
        <x:f>IF(C58="仅新集群",G58,IF(C58="仅老集群",-F58,G58-F58))</x:f>
        <x:v>4947392</x:v>
      </x:c>
      <x:c r="I58" s="266" t="n">
        <x:f>IF(C58="两边都有",IF(F58=0,"",G58/F58-1),"")</x:f>
        <x:v>0.36288953071473085</x:v>
      </x:c>
      <x:c r="J58" s="263" t="n">
        <x:v>325867062</x:v>
      </x:c>
      <x:c r="K58" s="263" t="n">
        <x:v>459994303</x:v>
      </x:c>
      <x:c r="L58" s="269" t="n">
        <x:f>IF(J58="","",J58/1099511627776)</x:f>
        <x:v>0.0002963743663713103</x:v>
      </x:c>
      <x:c r="M58" s="269" t="n">
        <x:f>IF(K58="","",K58/1099511627776)</x:f>
        <x:v>0.000418362381424231</x:v>
      </x:c>
      <x:c r="N58" s="269" t="n">
        <x:f>IF(C58="仅新集群",M58,IF(C58="仅老集群",-L58,M58-L58))</x:f>
        <x:v>0.00012198801505292067</x:v>
      </x:c>
      <x:c r="O58" s="266" t="n">
        <x:f>IF(C58="两边都有",IF(L58=0,"",M58/L58-1),"")</x:f>
        <x:v>0.4116010994692063</x:v>
      </x:c>
      <x:c r="P58" s="263" t="n">
        <x:v>10071179428</x:v>
      </x:c>
      <x:c r="Q58" s="263" t="n">
        <x:v>13799334644</x:v>
      </x:c>
      <x:c r="R58" s="272" t="n">
        <x:v>30.91</x:v>
      </x:c>
      <x:c r="S58" s="272" t="n">
        <x:v>30</x:v>
      </x:c>
      <x:c r="T58" s="272" t="n">
        <x:f>IF(C58="两边都有",S58-R58,"")</x:f>
        <x:v>-0.9100000000000001</x:v>
      </x:c>
      <x:c r="U58" s="272" t="n">
        <x:v>23.9</x:v>
      </x:c>
      <x:c r="V58" s="272" t="n">
        <x:v>24.76</x:v>
      </x:c>
    </x:row>
    <x:row r="59">
      <x:c r="A59" s="37" t="n">
        <x:v>55</x:v>
      </x:c>
      <x:c r="B59" s="34" t="str">
        <x:v>ztna_user_security_log_local</x:v>
      </x:c>
      <x:c r="C59" s="37" t="str">
        <x:v>两边都有</x:v>
      </x:c>
      <x:c r="D59" s="37" t="str">
        <x:f>IF(L59="","",IF(L59*1024&gt;='新集群汇总'!$B$14,"超大表",IF(L59*1024&gt;='新集群汇总'!$B$15,"大表",IF(L59*1024&gt;='新集群汇总'!$B$16,"中表","小表"))))</x:f>
        <x:v>小表</x:v>
      </x:c>
      <x:c r="E59" s="37" t="str">
        <x:f>IF(M59="","",IF(M59*1024&gt;='新集群汇总'!$B$14,"超大表",IF(M59*1024&gt;='新集群汇总'!$B$15,"大表",IF(M59*1024&gt;='新集群汇总'!$B$16,"中表","小表"))))</x:f>
        <x:v>小表</x:v>
      </x:c>
      <x:c r="F59" s="263" t="n">
        <x:v>726572</x:v>
      </x:c>
      <x:c r="G59" s="263" t="n">
        <x:v>1603</x:v>
      </x:c>
      <x:c r="H59" s="263" t="n">
        <x:f>IF(C59="仅新集群",G59,IF(C59="仅老集群",-F59,G59-F59))</x:f>
        <x:v>-724969</x:v>
      </x:c>
      <x:c r="I59" s="266" t="n">
        <x:f>IF(C59="两边都有",IF(F59=0,"",G59/F59-1),"")</x:f>
        <x:v>-0.9977937492774288</x:v>
      </x:c>
      <x:c r="J59" s="263" t="n">
        <x:v>113774045</x:v>
      </x:c>
      <x:c r="K59" s="263" t="n">
        <x:v>787530</x:v>
      </x:c>
      <x:c r="L59" s="269" t="n">
        <x:f>IF(J59="","",J59/1099511627776)</x:f>
        <x:v>0.00010347689112677472</x:v>
      </x:c>
      <x:c r="M59" s="269" t="n">
        <x:f>IF(K59="","",K59/1099511627776)</x:f>
        <x:v>7.162543624872342e-7</x:v>
      </x:c>
      <x:c r="N59" s="269" t="n">
        <x:f>IF(C59="仅新集群",M59,IF(C59="仅老集群",-L59,M59-L59))</x:f>
        <x:v>-0.00010276063676428748</x:v>
      </x:c>
      <x:c r="O59" s="266" t="n">
        <x:f>IF(C59="两边都有",IF(L59=0,"",M59/L59-1),"")</x:f>
        <x:v>-0.9930781225190684</x:v>
      </x:c>
      <x:c r="P59" s="263" t="n">
        <x:v>1668040339</x:v>
      </x:c>
      <x:c r="Q59" s="263" t="n">
        <x:v>3719973</x:v>
      </x:c>
      <x:c r="R59" s="272" t="n">
        <x:v>14.66</x:v>
      </x:c>
      <x:c r="S59" s="272" t="n">
        <x:v>4.72</x:v>
      </x:c>
      <x:c r="T59" s="272" t="n">
        <x:f>IF(C59="两边都有",S59-R59,"")</x:f>
        <x:v>-9.940000000000001</x:v>
      </x:c>
      <x:c r="U59" s="272" t="n">
        <x:v>156.59</x:v>
      </x:c>
      <x:c r="V59" s="272" t="n">
        <x:v>491.29</x:v>
      </x:c>
    </x:row>
    <x:row r="60">
      <x:c r="A60" s="37" t="n">
        <x:v>56</x:v>
      </x:c>
      <x:c r="B60" s="34" t="str">
        <x:v>smtp_log_local</x:v>
      </x:c>
      <x:c r="C60" s="37" t="str">
        <x:v>两边都有</x:v>
      </x:c>
      <x:c r="D60" s="37" t="str">
        <x:f>IF(L60="","",IF(L60*1024&gt;='新集群汇总'!$B$14,"超大表",IF(L60*1024&gt;='新集群汇总'!$B$15,"大表",IF(L60*1024&gt;='新集群汇总'!$B$16,"中表","小表"))))</x:f>
        <x:v>小表</x:v>
      </x:c>
      <x:c r="E60" s="37" t="str">
        <x:f>IF(M60="","",IF(M60*1024&gt;='新集群汇总'!$B$14,"超大表",IF(M60*1024&gt;='新集群汇总'!$B$15,"大表",IF(M60*1024&gt;='新集群汇总'!$B$16,"中表","小表"))))</x:f>
        <x:v>小表</x:v>
      </x:c>
      <x:c r="F60" s="263" t="n">
        <x:v>2012848</x:v>
      </x:c>
      <x:c r="G60" s="263" t="n">
        <x:v>429181</x:v>
      </x:c>
      <x:c r="H60" s="263" t="n">
        <x:f>IF(C60="仅新集群",G60,IF(C60="仅老集群",-F60,G60-F60))</x:f>
        <x:v>-1583667</x:v>
      </x:c>
      <x:c r="I60" s="266" t="n">
        <x:f>IF(C60="两边都有",IF(F60=0,"",G60/F60-1),"")</x:f>
        <x:v>-0.7867792302250344</x:v>
      </x:c>
      <x:c r="J60" s="263" t="n">
        <x:v>311989765</x:v>
      </x:c>
      <x:c r="K60" s="263" t="n">
        <x:v>209378988</x:v>
      </x:c>
      <x:c r="L60" s="269" t="n">
        <x:f>IF(J60="","",J60/1099511627776)</x:f>
        <x:v>0.00028375303827488096</x:v>
      </x:c>
      <x:c r="M60" s="269" t="n">
        <x:f>IF(K60="","",K60/1099511627776)</x:f>
        <x:v>0.00019042908024857752</x:v>
      </x:c>
      <x:c r="N60" s="269" t="n">
        <x:f>IF(C60="仅新集群",M60,IF(C60="仅老集群",-L60,M60-L60))</x:f>
        <x:v>-0.00009332395802630344</x:v>
      </x:c>
      <x:c r="O60" s="266" t="n">
        <x:f>IF(C60="两边都有",IF(L60=0,"",M60/L60-1),"")</x:f>
        <x:v>-0.3288914846293115</x:v>
      </x:c>
      <x:c r="P60" s="263" t="n">
        <x:v>2987086225</x:v>
      </x:c>
      <x:c r="Q60" s="263" t="n">
        <x:v>2423663388</x:v>
      </x:c>
      <x:c r="R60" s="272" t="n">
        <x:v>9.57</x:v>
      </x:c>
      <x:c r="S60" s="272" t="n">
        <x:v>11.58</x:v>
      </x:c>
      <x:c r="T60" s="272" t="n">
        <x:f>IF(C60="两边都有",S60-R60,"")</x:f>
        <x:v>2.01</x:v>
      </x:c>
      <x:c r="U60" s="272" t="n">
        <x:v>155</x:v>
      </x:c>
      <x:c r="V60" s="272" t="n">
        <x:v>487.86</x:v>
      </x:c>
    </x:row>
    <x:row r="61">
      <x:c r="A61" s="37" t="n">
        <x:v>57</x:v>
      </x:c>
      <x:c r="B61" s="34" t="str">
        <x:v>nfs_log_local</x:v>
      </x:c>
      <x:c r="C61" s="37" t="str">
        <x:v>两边都有</x:v>
      </x:c>
      <x:c r="D61" s="37" t="str">
        <x:f>IF(L61="","",IF(L61*1024&gt;='新集群汇总'!$B$14,"超大表",IF(L61*1024&gt;='新集群汇总'!$B$15,"大表",IF(L61*1024&gt;='新集群汇总'!$B$16,"中表","小表"))))</x:f>
        <x:v>小表</x:v>
      </x:c>
      <x:c r="E61" s="37" t="str">
        <x:f>IF(M61="","",IF(M61*1024&gt;='新集群汇总'!$B$14,"超大表",IF(M61*1024&gt;='新集群汇总'!$B$15,"大表",IF(M61*1024&gt;='新集群汇总'!$B$16,"中表","小表"))))</x:f>
        <x:v>小表</x:v>
      </x:c>
      <x:c r="F61" s="263" t="n">
        <x:v>3076905</x:v>
      </x:c>
      <x:c r="G61" s="263" t="n">
        <x:v>17720061</x:v>
      </x:c>
      <x:c r="H61" s="263" t="n">
        <x:f>IF(C61="仅新集群",G61,IF(C61="仅老集群",-F61,G61-F61))</x:f>
        <x:v>14643156</x:v>
      </x:c>
      <x:c r="I61" s="266" t="n">
        <x:f>IF(C61="两边都有",IF(F61=0,"",G61/F61-1),"")</x:f>
        <x:v>4.759053659440249</x:v>
      </x:c>
      <x:c r="J61" s="263" t="n">
        <x:v>46466066</x:v>
      </x:c>
      <x:c r="K61" s="263" t="n">
        <x:v>148712452</x:v>
      </x:c>
      <x:c r="L61" s="269" t="n">
        <x:f>IF(J61="","",J61/1099511627776)</x:f>
        <x:v>0.0000422606408392312</x:v>
      </x:c>
      <x:c r="M61" s="269" t="n">
        <x:f>IF(K61="","",K61/1099511627776)</x:f>
        <x:v>0.0001352531871816609</x:v>
      </x:c>
      <x:c r="N61" s="269" t="n">
        <x:f>IF(C61="仅新集群",M61,IF(C61="仅老集群",-L61,M61-L61))</x:f>
        <x:v>0.0000929925463424297</x:v>
      </x:c>
      <x:c r="O61" s="266" t="n">
        <x:f>IF(C61="两边都有",IF(L61=0,"",M61/L61-1),"")</x:f>
        <x:v>2.2004528207746272</x:v>
      </x:c>
      <x:c r="P61" s="263" t="n">
        <x:v>2267171773</x:v>
      </x:c>
      <x:c r="Q61" s="263" t="n">
        <x:v>14526669478</x:v>
      </x:c>
      <x:c r="R61" s="272" t="n">
        <x:v>48.79</x:v>
      </x:c>
      <x:c r="S61" s="272" t="n">
        <x:v>97.68</x:v>
      </x:c>
      <x:c r="T61" s="272" t="n">
        <x:f>IF(C61="两边都有",S61-R61,"")</x:f>
        <x:v>48.89000000000001</x:v>
      </x:c>
      <x:c r="U61" s="272" t="n">
        <x:v>15.1</x:v>
      </x:c>
      <x:c r="V61" s="272" t="n">
        <x:v>8.39</x:v>
      </x:c>
    </x:row>
    <x:row r="62">
      <x:c r="A62" s="37" t="n">
        <x:v>58</x:v>
      </x:c>
      <x:c r="B62" s="34" t="str">
        <x:v>smtp_login_log_local</x:v>
      </x:c>
      <x:c r="C62" s="37" t="str">
        <x:v>两边都有</x:v>
      </x:c>
      <x:c r="D62" s="37" t="str">
        <x:f>IF(L62="","",IF(L62*1024&gt;='新集群汇总'!$B$14,"超大表",IF(L62*1024&gt;='新集群汇总'!$B$15,"大表",IF(L62*1024&gt;='新集群汇总'!$B$16,"中表","小表"))))</x:f>
        <x:v>小表</x:v>
      </x:c>
      <x:c r="E62" s="37" t="str">
        <x:f>IF(M62="","",IF(M62*1024&gt;='新集群汇总'!$B$14,"超大表",IF(M62*1024&gt;='新集群汇总'!$B$15,"大表",IF(M62*1024&gt;='新集群汇总'!$B$16,"中表","小表"))))</x:f>
        <x:v>小表</x:v>
      </x:c>
      <x:c r="F62" s="263" t="n">
        <x:v>4823408</x:v>
      </x:c>
      <x:c r="G62" s="263" t="n">
        <x:v>2959778</x:v>
      </x:c>
      <x:c r="H62" s="263" t="n">
        <x:f>IF(C62="仅新集群",G62,IF(C62="仅老集群",-F62,G62-F62))</x:f>
        <x:v>-1863630</x:v>
      </x:c>
      <x:c r="I62" s="266" t="n">
        <x:f>IF(C62="两边都有",IF(F62=0,"",G62/F62-1),"")</x:f>
        <x:v>-0.38637204234018774</x:v>
      </x:c>
      <x:c r="J62" s="263" t="n">
        <x:v>186213299</x:v>
      </x:c>
      <x:c r="K62" s="263" t="n">
        <x:v>94611129</x:v>
      </x:c>
      <x:c r="L62" s="269" t="n">
        <x:f>IF(J62="","",J62/1099511627776)</x:f>
        <x:v>0.00016936000884015812</x:v>
      </x:c>
      <x:c r="M62" s="269" t="n">
        <x:f>IF(K62="","",K62/1099511627776)</x:f>
        <x:v>0.00008604832055425504</x:v>
      </x:c>
      <x:c r="N62" s="269" t="n">
        <x:f>IF(C62="仅新集群",M62,IF(C62="仅老集群",-L62,M62-L62))</x:f>
        <x:v>-0.00008331168828590307</x:v>
      </x:c>
      <x:c r="O62" s="266" t="n">
        <x:f>IF(C62="两边都有",IF(L62=0,"",M62/L62-1),"")</x:f>
        <x:v>-0.4919206656663121</x:v>
      </x:c>
      <x:c r="P62" s="263" t="n">
        <x:v>3461726577</x:v>
      </x:c>
      <x:c r="Q62" s="263" t="n">
        <x:v>2205608709</x:v>
      </x:c>
      <x:c r="R62" s="272" t="n">
        <x:v>18.59</x:v>
      </x:c>
      <x:c r="S62" s="272" t="n">
        <x:v>23.31</x:v>
      </x:c>
      <x:c r="T62" s="272" t="n">
        <x:f>IF(C62="两边都有",S62-R62,"")</x:f>
        <x:v>4.719999999999999</x:v>
      </x:c>
      <x:c r="U62" s="272" t="n">
        <x:v>38.61</x:v>
      </x:c>
      <x:c r="V62" s="272" t="n">
        <x:v>31.97</x:v>
      </x:c>
    </x:row>
    <x:row r="63">
      <x:c r="A63" s="37" t="n">
        <x:v>59</x:v>
      </x:c>
      <x:c r="B63" s="34" t="str">
        <x:v>entraid_audit_log_local</x:v>
      </x:c>
      <x:c r="C63" s="37" t="str">
        <x:v>仅老集群</x:v>
      </x:c>
      <x:c r="D63" s="37" t="str">
        <x:f>IF(L63="","",IF(L63*1024&gt;='新集群汇总'!$B$14,"超大表",IF(L63*1024&gt;='新集群汇总'!$B$15,"大表",IF(L63*1024&gt;='新集群汇总'!$B$16,"中表","小表"))))</x:f>
        <x:v>小表</x:v>
      </x:c>
      <x:c r="E63" s="37" t="str">
        <x:f>IF(M63="","",IF(M63*1024&gt;='新集群汇总'!$B$14,"超大表",IF(M63*1024&gt;='新集群汇总'!$B$15,"大表",IF(M63*1024&gt;='新集群汇总'!$B$16,"中表","小表"))))</x:f>
      </x:c>
      <x:c r="F63" s="263" t="n">
        <x:v>508371</x:v>
      </x:c>
      <x:c r="G63" s="263"/>
      <x:c r="H63" s="263" t="n">
        <x:f>IF(C63="仅新集群",G63,IF(C63="仅老集群",-F63,G63-F63))</x:f>
        <x:v>-508371</x:v>
      </x:c>
      <x:c r="I63" s="266" t="str">
        <x:f>IF(C63="两边都有",IF(F63=0,"",G63/F63-1),"")</x:f>
      </x:c>
      <x:c r="J63" s="263" t="n">
        <x:v>83249904</x:v>
      </x:c>
      <x:c r="K63" s="263"/>
      <x:c r="L63" s="269" t="n">
        <x:f>IF(J63="","",J63/1099511627776)</x:f>
        <x:v>0.0000757153466111049</x:v>
      </x:c>
      <x:c r="M63" s="269" t="str">
        <x:f>IF(K63="","",K63/1099511627776)</x:f>
      </x:c>
      <x:c r="N63" s="269" t="n">
        <x:f>IF(C63="仅新集群",M63,IF(C63="仅老集群",-L63,M63-L63))</x:f>
        <x:v>-0.0000757153466111049</x:v>
      </x:c>
      <x:c r="O63" s="266" t="str">
        <x:f>IF(C63="两边都有",IF(L63=0,"",M63/L63-1),"")</x:f>
      </x:c>
      <x:c r="P63" s="263" t="n">
        <x:v>1268385565</x:v>
      </x:c>
      <x:c r="Q63" s="263"/>
      <x:c r="R63" s="272" t="n">
        <x:v>15.24</x:v>
      </x:c>
      <x:c r="S63" s="272"/>
      <x:c r="T63" s="272" t="str">
        <x:f>IF(C63="两边都有",S63-R63,"")</x:f>
      </x:c>
      <x:c r="U63" s="272" t="n">
        <x:v>163.76</x:v>
      </x:c>
      <x:c r="V63" s="272"/>
    </x:row>
    <x:row r="64">
      <x:c r="A64" s="37" t="n">
        <x:v>60</x:v>
      </x:c>
      <x:c r="B64" s="34" t="str">
        <x:v>telnet_login_log_local</x:v>
      </x:c>
      <x:c r="C64" s="37" t="str">
        <x:v>两边都有</x:v>
      </x:c>
      <x:c r="D64" s="37" t="str">
        <x:f>IF(L64="","",IF(L64*1024&gt;='新集群汇总'!$B$14,"超大表",IF(L64*1024&gt;='新集群汇总'!$B$15,"大表",IF(L64*1024&gt;='新集群汇总'!$B$16,"中表","小表"))))</x:f>
        <x:v>小表</x:v>
      </x:c>
      <x:c r="E64" s="37" t="str">
        <x:f>IF(M64="","",IF(M64*1024&gt;='新集群汇总'!$B$14,"超大表",IF(M64*1024&gt;='新集群汇总'!$B$15,"大表",IF(M64*1024&gt;='新集群汇总'!$B$16,"中表","小表"))))</x:f>
        <x:v>小表</x:v>
      </x:c>
      <x:c r="F64" s="263" t="n">
        <x:v>1954274</x:v>
      </x:c>
      <x:c r="G64" s="263" t="n">
        <x:v>658518</x:v>
      </x:c>
      <x:c r="H64" s="263" t="n">
        <x:f>IF(C64="仅新集群",G64,IF(C64="仅老集群",-F64,G64-F64))</x:f>
        <x:v>-1295756</x:v>
      </x:c>
      <x:c r="I64" s="266" t="n">
        <x:f>IF(C64="两边都有",IF(F64=0,"",G64/F64-1),"")</x:f>
        <x:v>-0.6630370152803547</x:v>
      </x:c>
      <x:c r="J64" s="263" t="n">
        <x:v>84524717</x:v>
      </x:c>
      <x:c r="K64" s="263" t="n">
        <x:v>32370054</x:v>
      </x:c>
      <x:c r="L64" s="269" t="n">
        <x:f>IF(J64="","",J64/1099511627776)</x:f>
        <x:v>0.00007687478228035616</x:v>
      </x:c>
      <x:c r="M64" s="269" t="n">
        <x:f>IF(K64="","",K64/1099511627776)</x:f>
        <x:v>0.000029440392609103583</x:v>
      </x:c>
      <x:c r="N64" s="269" t="n">
        <x:f>IF(C64="仅新集群",M64,IF(C64="仅老集群",-L64,M64-L64))</x:f>
        <x:v>-0.000047434389671252575</x:v>
      </x:c>
      <x:c r="O64" s="266" t="n">
        <x:f>IF(C64="两边都有",IF(L64=0,"",M64/L64-1),"")</x:f>
        <x:v>-0.6170344586897581</x:v>
      </x:c>
      <x:c r="P64" s="263" t="n">
        <x:v>1630491111</x:v>
      </x:c>
      <x:c r="Q64" s="263" t="n">
        <x:v>515091304</x:v>
      </x:c>
      <x:c r="R64" s="272" t="n">
        <x:v>19.29</x:v>
      </x:c>
      <x:c r="S64" s="272" t="n">
        <x:v>15.91</x:v>
      </x:c>
      <x:c r="T64" s="272" t="n">
        <x:f>IF(C64="两边都有",S64-R64,"")</x:f>
        <x:v>-3.379999999999999</x:v>
      </x:c>
      <x:c r="U64" s="272" t="n">
        <x:v>43.25</x:v>
      </x:c>
      <x:c r="V64" s="272" t="n">
        <x:v>49.16</x:v>
      </x:c>
    </x:row>
    <x:row r="65">
      <x:c r="A65" s="37" t="n">
        <x:v>61</x:v>
      </x:c>
      <x:c r="B65" s="34" t="str">
        <x:v>sas_log_local</x:v>
      </x:c>
      <x:c r="C65" s="37" t="str">
        <x:v>两边都有</x:v>
      </x:c>
      <x:c r="D65" s="37" t="str">
        <x:f>IF(L65="","",IF(L65*1024&gt;='新集群汇总'!$B$14,"超大表",IF(L65*1024&gt;='新集群汇总'!$B$15,"大表",IF(L65*1024&gt;='新集群汇总'!$B$16,"中表","小表"))))</x:f>
        <x:v>小表</x:v>
      </x:c>
      <x:c r="E65" s="37" t="str">
        <x:f>IF(M65="","",IF(M65*1024&gt;='新集群汇总'!$B$14,"超大表",IF(M65*1024&gt;='新集群汇总'!$B$15,"大表",IF(M65*1024&gt;='新集群汇总'!$B$16,"中表","小表"))))</x:f>
        <x:v>小表</x:v>
      </x:c>
      <x:c r="F65" s="263" t="n">
        <x:v>215851</x:v>
      </x:c>
      <x:c r="G65" s="263" t="n">
        <x:v>246</x:v>
      </x:c>
      <x:c r="H65" s="263" t="n">
        <x:f>IF(C65="仅新集群",G65,IF(C65="仅老集群",-F65,G65-F65))</x:f>
        <x:v>-215605</x:v>
      </x:c>
      <x:c r="I65" s="266" t="n">
        <x:f>IF(C65="两边都有",IF(F65=0,"",G65/F65-1),"")</x:f>
        <x:v>-0.998860324946375</x:v>
      </x:c>
      <x:c r="J65" s="263" t="n">
        <x:v>22624638</x:v>
      </x:c>
      <x:c r="K65" s="263" t="n">
        <x:v>986347</x:v>
      </x:c>
      <x:c r="L65" s="269" t="n">
        <x:f>IF(J65="","",J65/1099511627776)</x:f>
        <x:v>0.00002057698839053046</x:v>
      </x:c>
      <x:c r="M65" s="269" t="n">
        <x:f>IF(K65="","",K65/1099511627776)</x:f>
        <x:v>8.970773706096224e-7</x:v>
      </x:c>
      <x:c r="N65" s="269" t="n">
        <x:f>IF(C65="仅新集群",M65,IF(C65="仅老集群",-L65,M65-L65))</x:f>
        <x:v>-0.000019679911019920837</x:v>
      </x:c>
      <x:c r="O65" s="266" t="n">
        <x:f>IF(C65="两边都有",IF(L65=0,"",M65/L65-1),"")</x:f>
        <x:v>-0.9564038549478671</x:v>
      </x:c>
      <x:c r="P65" s="263" t="n">
        <x:v>261243450</x:v>
      </x:c>
      <x:c r="Q65" s="263" t="n">
        <x:v>352925</x:v>
      </x:c>
      <x:c r="R65" s="272" t="n">
        <x:v>11.55</x:v>
      </x:c>
      <x:c r="S65" s="272" t="n">
        <x:v>0.36</x:v>
      </x:c>
      <x:c r="T65" s="272" t="n">
        <x:f>IF(C65="两边都有",S65-R65,"")</x:f>
        <x:v>-11.190000000000001</x:v>
      </x:c>
      <x:c r="U65" s="272" t="n">
        <x:v>104.82</x:v>
      </x:c>
      <x:c r="V65" s="272" t="n">
        <x:v>4009.54</x:v>
      </x:c>
    </x:row>
    <x:row r="66">
      <x:c r="A66" s="37" t="n">
        <x:v>62</x:v>
      </x:c>
      <x:c r="B66" s="34" t="str">
        <x:v>endpoint_telemetry_security_log_local</x:v>
      </x:c>
      <x:c r="C66" s="37" t="str">
        <x:v>仅老集群</x:v>
      </x:c>
      <x:c r="D66" s="37" t="str">
        <x:f>IF(L66="","",IF(L66*1024&gt;='新集群汇总'!$B$14,"超大表",IF(L66*1024&gt;='新集群汇总'!$B$15,"大表",IF(L66*1024&gt;='新集群汇总'!$B$16,"中表","小表"))))</x:f>
        <x:v>小表</x:v>
      </x:c>
      <x:c r="E66" s="37" t="str">
        <x:f>IF(M66="","",IF(M66*1024&gt;='新集群汇总'!$B$14,"超大表",IF(M66*1024&gt;='新集群汇总'!$B$15,"大表",IF(M66*1024&gt;='新集群汇总'!$B$16,"中表","小表"))))</x:f>
      </x:c>
      <x:c r="F66" s="263" t="n">
        <x:v>13389</x:v>
      </x:c>
      <x:c r="G66" s="263"/>
      <x:c r="H66" s="263" t="n">
        <x:f>IF(C66="仅新集群",G66,IF(C66="仅老集群",-F66,G66-F66))</x:f>
        <x:v>-13389</x:v>
      </x:c>
      <x:c r="I66" s="266" t="str">
        <x:f>IF(C66="两边都有",IF(F66=0,"",G66/F66-1),"")</x:f>
      </x:c>
      <x:c r="J66" s="263" t="n">
        <x:v>10433172</x:v>
      </x:c>
      <x:c r="K66" s="263"/>
      <x:c r="L66" s="269" t="n">
        <x:f>IF(J66="","",J66/1099511627776)</x:f>
        <x:v>0.000009488914656685665</x:v>
      </x:c>
      <x:c r="M66" s="269" t="str">
        <x:f>IF(K66="","",K66/1099511627776)</x:f>
      </x:c>
      <x:c r="N66" s="269" t="n">
        <x:f>IF(C66="仅新集群",M66,IF(C66="仅老集群",-L66,M66-L66))</x:f>
        <x:v>-0.000009488914656685665</x:v>
      </x:c>
      <x:c r="O66" s="266" t="str">
        <x:f>IF(C66="两边都有",IF(L66=0,"",M66/L66-1),"")</x:f>
      </x:c>
      <x:c r="P66" s="263" t="n">
        <x:v>15832481</x:v>
      </x:c>
      <x:c r="Q66" s="263"/>
      <x:c r="R66" s="272" t="n">
        <x:v>1.52</x:v>
      </x:c>
      <x:c r="S66" s="272"/>
      <x:c r="T66" s="272" t="str">
        <x:f>IF(C66="两边都有",S66-R66,"")</x:f>
      </x:c>
      <x:c r="U66" s="272" t="n">
        <x:v>779.23</x:v>
      </x:c>
      <x:c r="V66" s="272"/>
    </x:row>
    <x:row r="67">
      <x:c r="A67" s="37" t="n">
        <x:v>63</x:v>
      </x:c>
      <x:c r="B67" s="34" t="str">
        <x:v>db2_log_local</x:v>
      </x:c>
      <x:c r="C67" s="37" t="str">
        <x:v>两边都有</x:v>
      </x:c>
      <x:c r="D67" s="37" t="str">
        <x:f>IF(L67="","",IF(L67*1024&gt;='新集群汇总'!$B$14,"超大表",IF(L67*1024&gt;='新集群汇总'!$B$15,"大表",IF(L67*1024&gt;='新集群汇总'!$B$16,"中表","小表"))))</x:f>
        <x:v>小表</x:v>
      </x:c>
      <x:c r="E67" s="37" t="str">
        <x:f>IF(M67="","",IF(M67*1024&gt;='新集群汇总'!$B$14,"超大表",IF(M67*1024&gt;='新集群汇总'!$B$15,"大表",IF(M67*1024&gt;='新集群汇总'!$B$16,"中表","小表"))))</x:f>
        <x:v>小表</x:v>
      </x:c>
      <x:c r="F67" s="263" t="n">
        <x:v>1151360</x:v>
      </x:c>
      <x:c r="G67" s="263" t="n">
        <x:v>1410331</x:v>
      </x:c>
      <x:c r="H67" s="263" t="n">
        <x:f>IF(C67="仅新集群",G67,IF(C67="仅老集群",-F67,G67-F67))</x:f>
        <x:v>258971</x:v>
      </x:c>
      <x:c r="I67" s="266" t="n">
        <x:f>IF(C67="两边都有",IF(F67=0,"",G67/F67-1),"")</x:f>
        <x:v>0.2249261742634796</x:v>
      </x:c>
      <x:c r="J67" s="263" t="n">
        <x:v>32135022</x:v>
      </x:c>
      <x:c r="K67" s="263" t="n">
        <x:v>35412988</x:v>
      </x:c>
      <x:c r="L67" s="269" t="n">
        <x:f>IF(J67="","",J67/1099511627776)</x:f>
        <x:v>0.000029226632250356488</x:v>
      </x:c>
      <x:c r="M67" s="269" t="n">
        <x:f>IF(K67="","",K67/1099511627776)</x:f>
        <x:v>0.000032207924959948286</x:v>
      </x:c>
      <x:c r="N67" s="269" t="n">
        <x:f>IF(C67="仅新集群",M67,IF(C67="仅老集群",-L67,M67-L67))</x:f>
        <x:v>0.0000029812927095917985</x:v>
      </x:c>
      <x:c r="O67" s="266" t="n">
        <x:f>IF(C67="两边都有",IF(L67=0,"",M67/L67-1),"")</x:f>
        <x:v>0.10200602943417936</x:v>
      </x:c>
      <x:c r="P67" s="263" t="n">
        <x:v>969281063</x:v>
      </x:c>
      <x:c r="Q67" s="263" t="n">
        <x:v>1157117363</x:v>
      </x:c>
      <x:c r="R67" s="272" t="n">
        <x:v>30.16</x:v>
      </x:c>
      <x:c r="S67" s="272" t="n">
        <x:v>32.67</x:v>
      </x:c>
      <x:c r="T67" s="272" t="n">
        <x:f>IF(C67="两边都有",S67-R67,"")</x:f>
        <x:v>2.5100000000000016</x:v>
      </x:c>
      <x:c r="U67" s="272" t="n">
        <x:v>27.91</x:v>
      </x:c>
      <x:c r="V67" s="272" t="n">
        <x:v>25.11</x:v>
      </x:c>
    </x:row>
    <x:row r="68">
      <x:c r="A68" s="37" t="n">
        <x:v>64</x:v>
      </x:c>
      <x:c r="B68" s="34" t="str">
        <x:v>imap_log_local</x:v>
      </x:c>
      <x:c r="C68" s="37" t="str">
        <x:v>两边都有</x:v>
      </x:c>
      <x:c r="D68" s="37" t="str">
        <x:f>IF(L68="","",IF(L68*1024&gt;='新集群汇总'!$B$14,"超大表",IF(L68*1024&gt;='新集群汇总'!$B$15,"大表",IF(L68*1024&gt;='新集群汇总'!$B$16,"中表","小表"))))</x:f>
        <x:v>小表</x:v>
      </x:c>
      <x:c r="E68" s="37" t="str">
        <x:f>IF(M68="","",IF(M68*1024&gt;='新集群汇总'!$B$14,"超大表",IF(M68*1024&gt;='新集群汇总'!$B$15,"大表",IF(M68*1024&gt;='新集群汇总'!$B$16,"中表","小表"))))</x:f>
        <x:v>小表</x:v>
      </x:c>
      <x:c r="F68" s="263" t="n">
        <x:v>3782</x:v>
      </x:c>
      <x:c r="G68" s="263" t="n">
        <x:v>3896</x:v>
      </x:c>
      <x:c r="H68" s="263" t="n">
        <x:f>IF(C68="仅新集群",G68,IF(C68="仅老集群",-F68,G68-F68))</x:f>
        <x:v>114</x:v>
      </x:c>
      <x:c r="I68" s="266" t="n">
        <x:f>IF(C68="两边都有",IF(F68=0,"",G68/F68-1),"")</x:f>
        <x:v>0.030142781597038537</x:v>
      </x:c>
      <x:c r="J68" s="263" t="n">
        <x:v>5075904</x:v>
      </x:c>
      <x:c r="K68" s="263" t="n">
        <x:v>7833611</x:v>
      </x:c>
      <x:c r="L68" s="269" t="n">
        <x:f>IF(J68="","",J68/1099511627776)</x:f>
        <x:v>0.0000046165077947080135</x:v>
      </x:c>
      <x:c r="M68" s="269" t="n">
        <x:f>IF(K68="","",K68/1099511627776)</x:f>
        <x:v>0.00000712462770025013</x:v>
      </x:c>
      <x:c r="N68" s="269" t="n">
        <x:f>IF(C68="仅新集群",M68,IF(C68="仅老集群",-L68,M68-L68))</x:f>
        <x:v>0.0000025081199055421166</x:v>
      </x:c>
      <x:c r="O68" s="266" t="n">
        <x:f>IF(C68="两边都有",IF(L68=0,"",M68/L68-1),"")</x:f>
        <x:v>0.5432937659971504</x:v>
      </x:c>
      <x:c r="P68" s="263" t="n">
        <x:v>18871766</x:v>
      </x:c>
      <x:c r="Q68" s="263" t="n">
        <x:v>36460689</x:v>
      </x:c>
      <x:c r="R68" s="272" t="n">
        <x:v>3.72</x:v>
      </x:c>
      <x:c r="S68" s="272" t="n">
        <x:v>4.65</x:v>
      </x:c>
      <x:c r="T68" s="272" t="n">
        <x:f>IF(C68="两边都有",S68-R68,"")</x:f>
        <x:v>0.9300000000000002</x:v>
      </x:c>
      <x:c r="U68" s="272" t="n">
        <x:v>1342.12</x:v>
      </x:c>
      <x:c r="V68" s="272" t="n">
        <x:v>2010.68</x:v>
      </x:c>
    </x:row>
    <x:row r="69">
      <x:c r="A69" s="37" t="n">
        <x:v>65</x:v>
      </x:c>
      <x:c r="B69" s="34" t="str">
        <x:v>weak_log_local_old</x:v>
      </x:c>
      <x:c r="C69" s="37" t="str">
        <x:v>仅老集群</x:v>
      </x:c>
      <x:c r="D69" s="37" t="str">
        <x:f>IF(L69="","",IF(L69*1024&gt;='新集群汇总'!$B$14,"超大表",IF(L69*1024&gt;='新集群汇总'!$B$15,"大表",IF(L69*1024&gt;='新集群汇总'!$B$16,"中表","小表"))))</x:f>
        <x:v>小表</x:v>
      </x:c>
      <x:c r="E69" s="37" t="str">
        <x:f>IF(M69="","",IF(M69*1024&gt;='新集群汇总'!$B$14,"超大表",IF(M69*1024&gt;='新集群汇总'!$B$15,"大表",IF(M69*1024&gt;='新集群汇总'!$B$16,"中表","小表"))))</x:f>
      </x:c>
      <x:c r="F69" s="263" t="n">
        <x:v>492</x:v>
      </x:c>
      <x:c r="G69" s="263"/>
      <x:c r="H69" s="263" t="n">
        <x:f>IF(C69="仅新集群",G69,IF(C69="仅老集群",-F69,G69-F69))</x:f>
        <x:v>-492</x:v>
      </x:c>
      <x:c r="I69" s="266" t="str">
        <x:f>IF(C69="两边都有",IF(F69=0,"",G69/F69-1),"")</x:f>
      </x:c>
      <x:c r="J69" s="263" t="n">
        <x:v>287724</x:v>
      </x:c>
      <x:c r="K69" s="263"/>
      <x:c r="L69" s="269" t="n">
        <x:f>IF(J69="","",J69/1099511627776)</x:f>
        <x:v>2.61683453572914e-7</x:v>
      </x:c>
      <x:c r="M69" s="269" t="str">
        <x:f>IF(K69="","",K69/1099511627776)</x:f>
      </x:c>
      <x:c r="N69" s="269" t="n">
        <x:f>IF(C69="仅新集群",M69,IF(C69="仅老集群",-L69,M69-L69))</x:f>
        <x:v>-2.61683453572914e-7</x:v>
      </x:c>
      <x:c r="O69" s="266" t="str">
        <x:f>IF(C69="两边都有",IF(L69=0,"",M69/L69-1),"")</x:f>
      </x:c>
      <x:c r="P69" s="263" t="n">
        <x:v>437633</x:v>
      </x:c>
      <x:c r="Q69" s="263"/>
      <x:c r="R69" s="272" t="n">
        <x:v>1.52</x:v>
      </x:c>
      <x:c r="S69" s="272"/>
      <x:c r="T69" s="272" t="str">
        <x:f>IF(C69="两边都有",S69-R69,"")</x:f>
      </x:c>
      <x:c r="U69" s="272" t="n">
        <x:v>584.8</x:v>
      </x:c>
      <x:c r="V69" s="272"/>
    </x:row>
    <x:row r="70">
      <x:c r="A70" s="37" t="n">
        <x:v>66</x:v>
      </x:c>
      <x:c r="B70" s="34" t="str">
        <x:v>data_auth_ck_local</x:v>
      </x:c>
      <x:c r="C70" s="37" t="str">
        <x:v>仅老集群</x:v>
      </x:c>
      <x:c r="D70" s="37" t="str">
        <x:f>IF(L70="","",IF(L70*1024&gt;='新集群汇总'!$B$14,"超大表",IF(L70*1024&gt;='新集群汇总'!$B$15,"大表",IF(L70*1024&gt;='新集群汇总'!$B$16,"中表","小表"))))</x:f>
        <x:v>小表</x:v>
      </x:c>
      <x:c r="E70" s="37" t="str">
        <x:f>IF(M70="","",IF(M70*1024&gt;='新集群汇总'!$B$14,"超大表",IF(M70*1024&gt;='新集群汇总'!$B$15,"大表",IF(M70*1024&gt;='新集群汇总'!$B$16,"中表","小表"))))</x:f>
      </x:c>
      <x:c r="F70" s="263" t="n">
        <x:v>186</x:v>
      </x:c>
      <x:c r="G70" s="263"/>
      <x:c r="H70" s="263" t="n">
        <x:f>IF(C70="仅新集群",G70,IF(C70="仅老集群",-F70,G70-F70))</x:f>
        <x:v>-186</x:v>
      </x:c>
      <x:c r="I70" s="266" t="str">
        <x:f>IF(C70="两边都有",IF(F70=0,"",G70/F70-1),"")</x:f>
      </x:c>
      <x:c r="J70" s="263" t="n">
        <x:v>17259</x:v>
      </x:c>
      <x:c r="K70" s="263"/>
      <x:c r="L70" s="269" t="n">
        <x:f>IF(J70="","",J70/1099511627776)</x:f>
        <x:v>1.569696905789897e-8</x:v>
      </x:c>
      <x:c r="M70" s="269" t="str">
        <x:f>IF(K70="","",K70/1099511627776)</x:f>
      </x:c>
      <x:c r="N70" s="269" t="n">
        <x:f>IF(C70="仅新集群",M70,IF(C70="仅老集群",-L70,M70-L70))</x:f>
        <x:v>-1.569696905789897e-8</x:v>
      </x:c>
      <x:c r="O70" s="266" t="str">
        <x:f>IF(C70="两边都有",IF(L70=0,"",M70/L70-1),"")</x:f>
      </x:c>
      <x:c r="P70" s="263" t="n">
        <x:v>24092</x:v>
      </x:c>
      <x:c r="Q70" s="263"/>
      <x:c r="R70" s="272" t="n">
        <x:v>1.4</x:v>
      </x:c>
      <x:c r="S70" s="272"/>
      <x:c r="T70" s="272" t="str">
        <x:f>IF(C70="两边都有",S70-R70,"")</x:f>
      </x:c>
      <x:c r="U70" s="272" t="n">
        <x:v>92.79</x:v>
      </x:c>
      <x:c r="V70" s="272"/>
    </x:row>
    <x:row r="71">
      <x:c r="A71" s="38" t="n">
        <x:v>67</x:v>
      </x:c>
      <x:c r="B71" s="35" t="str">
        <x:v>black_write_node_local</x:v>
      </x:c>
      <x:c r="C71" s="38" t="str">
        <x:v>仅新集群</x:v>
      </x:c>
      <x:c r="D71" s="38" t="str">
        <x:f>IF(L71="","",IF(L71*1024&gt;='新集群汇总'!$B$14,"超大表",IF(L71*1024&gt;='新集群汇总'!$B$15,"大表",IF(L71*1024&gt;='新集群汇总'!$B$16,"中表","小表"))))</x:f>
      </x:c>
      <x:c r="E71" s="38" t="str">
        <x:f>IF(M71="","",IF(M71*1024&gt;='新集群汇总'!$B$14,"超大表",IF(M71*1024&gt;='新集群汇总'!$B$15,"大表",IF(M71*1024&gt;='新集群汇总'!$B$16,"中表","小表"))))</x:f>
        <x:v>小表</x:v>
      </x:c>
      <x:c r="F71" s="264"/>
      <x:c r="G71" s="264" t="n">
        <x:v>12</x:v>
      </x:c>
      <x:c r="H71" s="264" t="n">
        <x:f>IF(C71="仅新集群",G71,IF(C71="仅老集群",-F71,G71-F71))</x:f>
        <x:v>12</x:v>
      </x:c>
      <x:c r="I71" s="267" t="str">
        <x:f>IF(C71="两边都有",IF(F71=0,"",G71/F71-1),"")</x:f>
      </x:c>
      <x:c r="J71" s="264"/>
      <x:c r="K71" s="264" t="n">
        <x:v>316</x:v>
      </x:c>
      <x:c r="L71" s="270" t="str">
        <x:f>IF(J71="","",J71/1099511627776)</x:f>
      </x:c>
      <x:c r="M71" s="270" t="n">
        <x:f>IF(K71="","",K71/1099511627776)</x:f>
        <x:v>2.874003257602453e-10</x:v>
      </x:c>
      <x:c r="N71" s="270" t="n">
        <x:f>IF(C71="仅新集群",M71,IF(C71="仅老集群",-L71,M71-L71))</x:f>
        <x:v>2.874003257602453e-10</x:v>
      </x:c>
      <x:c r="O71" s="267" t="str">
        <x:f>IF(C71="两边都有",IF(L71=0,"",M71/L71-1),"")</x:f>
      </x:c>
      <x:c r="P71" s="264"/>
      <x:c r="Q71" s="264" t="n">
        <x:v>524</x:v>
      </x:c>
      <x:c r="R71" s="273"/>
      <x:c r="S71" s="273" t="n">
        <x:v>1.66</x:v>
      </x:c>
      <x:c r="T71" s="273" t="str">
        <x:f>IF(C71="两边都有",S71-R71,"")</x:f>
      </x:c>
      <x:c r="U71" s="273"/>
      <x:c r="V71" s="273" t="n">
        <x:v>26.33</x:v>
      </x:c>
    </x:row>
  </x:sheetData>
  <x:mergeCells>
    <x:mergeCell ref="A1:V1"/>
    <x:mergeCell ref="A2:V2"/>
  </x:mergeCells>
  <x:conditionalFormatting sqref="D5:E71">
    <x:cfRule type="containsText" dxfId="12" priority="1" operator="containsText" text="大表"/>
    <x:cfRule type="containsText" dxfId="13" priority="2" operator="containsText" text="超大表"/>
    <x:cfRule type="containsText" dxfId="14" priority="3" operator="containsText" text="中表"/>
    <x:cfRule type="containsText" dxfId="15" priority="4" operator="containsText" text="小表"/>
  </x:conditionalFormatting>
  <x:conditionalFormatting sqref="C5:C71">
    <x:cfRule type="containsText" dxfId="16" priority="5" operator="containsText" text="仅新集群"/>
    <x:cfRule type="containsText" dxfId="17" priority="6" operator="containsText" text="仅老集群"/>
  </x:conditionalFormatting>
  <x:conditionalFormatting sqref="N5:N71">
    <x:cfRule type="cellIs" dxfId="18" priority="7" operator="greaterThan">
      <x:formula>0</x:formula>
    </x:cfRule>
    <x:cfRule type="cellIs" dxfId="19" priority="8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2690d566b840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6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7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9" t="str">
        <x:v>新集群 business 数据库表数据量分析摘要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1"/>
    </x:row>
    <x:row r="2" ht="30" customHeight="1">
      <x:c r="A2" s="15" t="str">
        <x:v>统计口径：disk_total_bytes 为双副本磁盘总量；容量分层与老集群上一版保持一致。来源：国内新集群business库各表数据量统计（双副本）.csv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>
      <x:c r="A4" s="80" t="str">
        <x:v>表数量</x:v>
      </x:c>
      <x:c r="B4" s="81"/>
      <x:c r="C4" s="82"/>
      <x:c r="D4" s="80" t="str">
        <x:v>总行数（万亿）</x:v>
      </x:c>
      <x:c r="E4" s="81"/>
      <x:c r="F4" s="82"/>
      <x:c r="G4" s="116" t="str">
        <x:v>双副本磁盘总量（TiB）</x:v>
      </x:c>
      <x:c r="H4" s="117"/>
      <x:c r="I4" s="118"/>
      <x:c r="J4" s="116" t="str">
        <x:v>Top 5 容量占比</x:v>
      </x:c>
      <x:c r="K4" s="117"/>
      <x:c r="L4" s="117"/>
      <x:c r="M4" s="118"/>
    </x:row>
    <x:row r="5">
      <x:c r="A5" s="83" t="n">
        <x:f>COUNTA('新集群明细'!$B$5:$B$63)</x:f>
        <x:v>59</x:v>
      </x:c>
      <x:c r="B5" s="84"/>
      <x:c r="C5" s="85"/>
      <x:c r="D5" s="161" t="n">
        <x:f>SUM('新集群明细'!$E$5:$E$63)/1000000000000</x:f>
        <x:v>1.342096935757</x:v>
      </x:c>
      <x:c r="E5" s="162"/>
      <x:c r="F5" s="163"/>
      <x:c r="G5" s="167" t="n">
        <x:f>SUM('新集群明细'!$I$5:$I$63)</x:f>
        <x:v>179.70620402092936</x:v>
      </x:c>
      <x:c r="H5" s="168"/>
      <x:c r="I5" s="169"/>
      <x:c r="J5" s="173" t="n">
        <x:f>SUM('新集群明细'!$J$5:$J$9)</x:f>
        <x:v>0.9016235192407632</x:v>
      </x:c>
      <x:c r="K5" s="174"/>
      <x:c r="L5" s="174"/>
      <x:c r="M5" s="175"/>
    </x:row>
    <x:row r="6">
      <x:c r="A6" s="86"/>
      <x:c r="B6" s="87"/>
      <x:c r="C6" s="88"/>
      <x:c r="D6" s="164"/>
      <x:c r="E6" s="165"/>
      <x:c r="F6" s="166"/>
      <x:c r="G6" s="170"/>
      <x:c r="H6" s="171"/>
      <x:c r="I6" s="172"/>
      <x:c r="J6" s="176"/>
      <x:c r="K6" s="177"/>
      <x:c r="L6" s="177"/>
      <x:c r="M6" s="178"/>
    </x:row>
    <x:row r="8">
      <x:c r="A8" s="152" t="str">
        <x:v>整体加权压缩比</x:v>
      </x:c>
      <x:c r="B8" s="153"/>
      <x:c r="C8" s="154"/>
      <x:c r="D8" s="152" t="str">
        <x:v>单副本估算（TiB）</x:v>
      </x:c>
      <x:c r="E8" s="153"/>
      <x:c r="F8" s="154"/>
      <x:c r="G8" s="80" t="str">
        <x:v>单表磁盘中位数（GiB）</x:v>
      </x:c>
      <x:c r="H8" s="81"/>
      <x:c r="I8" s="82"/>
      <x:c r="J8" s="116" t="str">
        <x:v>最大表容量占比</x:v>
      </x:c>
      <x:c r="K8" s="117"/>
      <x:c r="L8" s="117"/>
      <x:c r="M8" s="118"/>
    </x:row>
    <x:row r="9">
      <x:c r="A9" s="179" t="n">
        <x:f>SUM('新集群明细'!$G$5:$G$63)/SUM('新集群明细'!$H$5:$H$63)</x:f>
        <x:v>12.480045330539363</x:v>
      </x:c>
      <x:c r="B9" s="180"/>
      <x:c r="C9" s="181"/>
      <x:c r="D9" s="185" t="n">
        <x:f>SUM('新集群明细'!$I$5:$I$63)/2</x:f>
        <x:v>89.85310201046468</x:v>
      </x:c>
      <x:c r="E9" s="186"/>
      <x:c r="F9" s="187"/>
      <x:c r="G9" s="191" t="n">
        <x:f>MEDIAN('新集群明细'!$I$5:$I$63)*1024</x:f>
        <x:v>3.170239742845297</x:v>
      </x:c>
      <x:c r="H9" s="192"/>
      <x:c r="I9" s="193"/>
      <x:c r="J9" s="173" t="n">
        <x:f>MAX('新集群明细'!$J$5:$J$63)</x:f>
        <x:v>0.36764995279363316</x:v>
      </x:c>
      <x:c r="K9" s="174"/>
      <x:c r="L9" s="174"/>
      <x:c r="M9" s="175"/>
    </x:row>
    <x:row r="10">
      <x:c r="A10" s="182"/>
      <x:c r="B10" s="183"/>
      <x:c r="C10" s="184"/>
      <x:c r="D10" s="188"/>
      <x:c r="E10" s="189"/>
      <x:c r="F10" s="190"/>
      <x:c r="G10" s="194"/>
      <x:c r="H10" s="195"/>
      <x:c r="I10" s="196"/>
      <x:c r="J10" s="176"/>
      <x:c r="K10" s="177"/>
      <x:c r="L10" s="177"/>
      <x:c r="M10" s="178"/>
    </x:row>
    <x:row r="12" ht="24" customHeight="1">
      <x:c r="A12" s="202" t="str">
        <x:v>容量分层（主口径）</x:v>
      </x:c>
      <x:c r="B12" s="203"/>
      <x:c r="C12" s="203"/>
      <x:c r="D12" s="203"/>
      <x:c r="E12" s="204"/>
      <x:c r="G12" s="202" t="str">
        <x:v>行数分层（辅助口径）</x:v>
      </x:c>
      <x:c r="H12" s="203"/>
      <x:c r="I12" s="203"/>
      <x:c r="J12" s="203"/>
      <x:c r="K12" s="204"/>
    </x:row>
    <x:row r="13">
      <x:c r="A13" s="26" t="str">
        <x:v>类别</x:v>
      </x:c>
      <x:c r="B13" s="27" t="str">
        <x:v>下限（GiB）</x:v>
      </x:c>
      <x:c r="C13" s="27" t="str">
        <x:v>表数</x:v>
      </x:c>
      <x:c r="D13" s="27" t="str">
        <x:v>磁盘容量（TiB）</x:v>
      </x:c>
      <x:c r="E13" s="28" t="str">
        <x:v>容量占比</x:v>
      </x:c>
      <x:c r="G13" s="26" t="str">
        <x:v>类别</x:v>
      </x:c>
      <x:c r="H13" s="27" t="str">
        <x:v>下限（行）</x:v>
      </x:c>
      <x:c r="I13" s="27" t="str">
        <x:v>表数</x:v>
      </x:c>
      <x:c r="J13" s="27" t="str">
        <x:v>行数（万亿）</x:v>
      </x:c>
      <x:c r="K13" s="28" t="str">
        <x:v>行数占比</x:v>
      </x:c>
    </x:row>
    <x:row r="14">
      <x:c r="A14" s="223" t="str">
        <x:v>超大表</x:v>
      </x:c>
      <x:c r="B14" s="211" t="n">
        <x:v>1024</x:v>
      </x:c>
      <x:c r="C14" s="208" t="n">
        <x:f>COUNTIF('新集群明细'!$C$5:$C$63,A14)</x:f>
        <x:v>11</x:v>
      </x:c>
      <x:c r="D14" s="214" t="n">
        <x:f>SUMIF('新集群明细'!$C$5:$C$63,A14,'新集群明细'!$I$5:$I$63)</x:f>
        <x:v>175.57702296508705</x:v>
      </x:c>
      <x:c r="E14" s="217" t="n">
        <x:f>D14/SUM($D$14:$D$17)</x:f>
        <x:v>0.9770226015382228</x:v>
      </x:c>
      <x:c r="G14" s="223" t="str">
        <x:v>超高行数</x:v>
      </x:c>
      <x:c r="H14" s="211" t="n">
        <x:v>10000000000</x:v>
      </x:c>
      <x:c r="I14" s="208" t="n">
        <x:f>COUNTIF('新集群明细'!$D$5:$D$63,G14)</x:f>
        <x:v>12</x:v>
      </x:c>
      <x:c r="J14" s="220" t="n">
        <x:f>SUMIF('新集群明细'!$D$5:$D$63,G14,'新集群明细'!$E$5:$E$63)/1000000000000</x:f>
        <x:v>1.28525392945</x:v>
      </x:c>
      <x:c r="K14" s="217" t="n">
        <x:f>J14/SUM($J$14:$J$17)</x:f>
        <x:v>0.957646124663165</x:v>
      </x:c>
    </x:row>
    <x:row r="15">
      <x:c r="A15" s="224" t="str">
        <x:v>大表</x:v>
      </x:c>
      <x:c r="B15" s="212" t="n">
        <x:v>100</x:v>
      </x:c>
      <x:c r="C15" s="209" t="n">
        <x:f>COUNTIF('新集群明细'!$C$5:$C$63,A15)</x:f>
        <x:v>12</x:v>
      </x:c>
      <x:c r="D15" s="215" t="n">
        <x:f>SUMIF('新集群明细'!$C$5:$C$63,A15,'新集群明细'!$I$5:$I$63)</x:f>
        <x:v>3.9890742392017273</x:v>
      </x:c>
      <x:c r="E15" s="218" t="n">
        <x:f>D15/SUM($D$14:$D$17)</x:f>
        <x:v>0.022197754723799867</x:v>
      </x:c>
      <x:c r="G15" s="224" t="str">
        <x:v>高行数</x:v>
      </x:c>
      <x:c r="H15" s="212" t="n">
        <x:v>1000000000</x:v>
      </x:c>
      <x:c r="I15" s="209" t="n">
        <x:f>COUNTIF('新集群明细'!$D$5:$D$63,G15)</x:f>
        <x:v>12</x:v>
      </x:c>
      <x:c r="J15" s="221" t="n">
        <x:f>SUMIF('新集群明细'!$D$5:$D$63,G15,'新集群明细'!$E$5:$E$63)/1000000000000</x:f>
        <x:v>0.054184447059</x:v>
      </x:c>
      <x:c r="K15" s="218" t="n">
        <x:f>J15/SUM($J$14:$J$17)</x:f>
        <x:v>0.040372975763064124</x:v>
      </x:c>
    </x:row>
    <x:row r="16">
      <x:c r="A16" s="224" t="str">
        <x:v>中表</x:v>
      </x:c>
      <x:c r="B16" s="212" t="n">
        <x:v>10</x:v>
      </x:c>
      <x:c r="C16" s="209" t="n">
        <x:f>COUNTIF('新集群明细'!$C$5:$C$63,A16)</x:f>
        <x:v>3</x:v>
      </x:c>
      <x:c r="D16" s="215" t="n">
        <x:f>SUMIF('新集群明细'!$C$5:$C$63,A16,'新集群明细'!$I$5:$I$63)</x:f>
        <x:v>0.10357413436940988</x:v>
      </x:c>
      <x:c r="E16" s="218" t="n">
        <x:f>D16/SUM($D$14:$D$17)</x:f>
        <x:v>0.0005763525802222564</x:v>
      </x:c>
      <x:c r="G16" s="224" t="str">
        <x:v>中行数</x:v>
      </x:c>
      <x:c r="H16" s="212" t="n">
        <x:v>100000000</x:v>
      </x:c>
      <x:c r="I16" s="209" t="n">
        <x:f>COUNTIF('新集群明细'!$D$5:$D$63,G16)</x:f>
        <x:v>5</x:v>
      </x:c>
      <x:c r="J16" s="221" t="n">
        <x:f>SUMIF('新集群明细'!$D$5:$D$63,G16,'新集群明细'!$E$5:$E$63)/1000000000000</x:f>
        <x:v>0.002253983879</x:v>
      </x:c>
      <x:c r="K16" s="218" t="n">
        <x:f>J16/SUM($J$14:$J$17)</x:f>
        <x:v>0.0016794493891968067</x:v>
      </x:c>
    </x:row>
    <x:row r="17">
      <x:c r="A17" s="225" t="str">
        <x:v>小表</x:v>
      </x:c>
      <x:c r="B17" s="213" t="n">
        <x:v>0</x:v>
      </x:c>
      <x:c r="C17" s="210" t="n">
        <x:f>COUNTIF('新集群明细'!$C$5:$C$63,A17)</x:f>
        <x:v>33</x:v>
      </x:c>
      <x:c r="D17" s="216" t="n">
        <x:f>SUMIF('新集群明细'!$C$5:$C$63,A17,'新集群明细'!$I$5:$I$63)</x:f>
        <x:v>0.036532682271172234</x:v>
      </x:c>
      <x:c r="E17" s="219" t="n">
        <x:f>D17/SUM($D$14:$D$17)</x:f>
        <x:v>0.00020329115775500706</x:v>
      </x:c>
      <x:c r="G17" s="225" t="str">
        <x:v>低行数</x:v>
      </x:c>
      <x:c r="H17" s="213" t="n">
        <x:v>0</x:v>
      </x:c>
      <x:c r="I17" s="210" t="n">
        <x:f>COUNTIF('新集群明细'!$D$5:$D$63,G17)</x:f>
        <x:v>30</x:v>
      </x:c>
      <x:c r="J17" s="222" t="n">
        <x:f>SUMIF('新集群明细'!$D$5:$D$63,G17,'新集群明细'!$E$5:$E$63)/1000000000000</x:f>
        <x:v>0.000404575369</x:v>
      </x:c>
      <x:c r="K17" s="219" t="n">
        <x:f>J17/SUM($J$14:$J$17)</x:f>
        <x:v>0.00030145018457389006</x:v>
      </x:c>
    </x:row>
    <x:row r="20" ht="24" customHeight="1">
      <x:c r="A20" s="202" t="str">
        <x:v>Top 10 大表（按双副本磁盘容量）</x:v>
      </x:c>
      <x:c r="B20" s="203"/>
      <x:c r="C20" s="203"/>
      <x:c r="D20" s="203"/>
      <x:c r="E20" s="203"/>
      <x:c r="F20" s="204"/>
    </x:row>
    <x:row r="22">
      <x:c r="A22" s="26" t="str">
        <x:v>排名</x:v>
      </x:c>
      <x:c r="B22" s="27" t="str">
        <x:v>表名</x:v>
      </x:c>
      <x:c r="C22" s="27" t="str">
        <x:v>磁盘容量（TiB）</x:v>
      </x:c>
      <x:c r="D22" s="27" t="str">
        <x:v>容量占比</x:v>
      </x:c>
      <x:c r="E22" s="27" t="str">
        <x:v>行数（亿）</x:v>
      </x:c>
      <x:c r="F22" s="28" t="str">
        <x:v>压缩比</x:v>
      </x:c>
    </x:row>
    <x:row r="23">
      <x:c r="A23" s="229" t="n">
        <x:f>'新集群明细'!A5</x:f>
        <x:v>1</x:v>
      </x:c>
      <x:c r="B23" s="229" t="str">
        <x:f>'新集群明细'!B5</x:f>
        <x:v>network_security_log_local</x:v>
      </x:c>
      <x:c r="C23" s="232" t="n">
        <x:f>'新集群明细'!I5</x:f>
        <x:v>66.06897742501769</x:v>
      </x:c>
      <x:c r="D23" s="235" t="n">
        <x:f>'新集群明细'!J5</x:f>
        <x:v>0.36764995279363316</x:v>
      </x:c>
      <x:c r="E23" s="232" t="n">
        <x:f>'新集群明细'!F5</x:f>
        <x:v>2438.25658144</x:v>
      </x:c>
      <x:c r="F23" s="238" t="n">
        <x:f>'新集群明细'!O5</x:f>
        <x:v>14.16</x:v>
      </x:c>
    </x:row>
    <x:row r="24">
      <x:c r="A24" s="230" t="n">
        <x:f>'新集群明细'!A6</x:f>
        <x:v>2</x:v>
      </x:c>
      <x:c r="B24" s="230" t="str">
        <x:f>'新集群明细'!B6</x:f>
        <x:v>http_log_local</x:v>
      </x:c>
      <x:c r="C24" s="233" t="n">
        <x:f>'新集群明细'!I6</x:f>
        <x:v>59.98859311475826</x:v>
      </x:c>
      <x:c r="D24" s="236" t="n">
        <x:f>'新集群明细'!J6</x:f>
        <x:v>0.33381481424966125</x:v>
      </x:c>
      <x:c r="E24" s="233" t="n">
        <x:f>'新集群明细'!F6</x:f>
        <x:v>2003.16102935</x:v>
      </x:c>
      <x:c r="F24" s="239" t="n">
        <x:f>'新集群明细'!O6</x:f>
        <x:v>7.59</x:v>
      </x:c>
    </x:row>
    <x:row r="25">
      <x:c r="A25" s="230" t="n">
        <x:f>'新集群明细'!A7</x:f>
        <x:v>3</x:v>
      </x:c>
      <x:c r="B25" s="230" t="str">
        <x:f>'新集群明细'!B7</x:f>
        <x:v>ssl_tls_log_local</x:v>
      </x:c>
      <x:c r="C25" s="233" t="n">
        <x:f>'新集群明细'!I7</x:f>
        <x:v>15.518645351311534</x:v>
      </x:c>
      <x:c r="D25" s="236" t="n">
        <x:f>'新集群明细'!J7</x:f>
        <x:v>0.0863556460716524</x:v>
      </x:c>
      <x:c r="E25" s="233" t="n">
        <x:f>'新集群明细'!F7</x:f>
        <x:v>357.70546253</x:v>
      </x:c>
      <x:c r="F25" s="239" t="n">
        <x:f>'新集群明细'!O7</x:f>
        <x:v>9.16</x:v>
      </x:c>
    </x:row>
    <x:row r="26">
      <x:c r="A26" s="230" t="n">
        <x:f>'新集群明细'!A8</x:f>
        <x:v>4</x:v>
      </x:c>
      <x:c r="B26" s="230" t="str">
        <x:f>'新集群明细'!B8</x:f>
        <x:v>tcp_log_local</x:v>
      </x:c>
      <x:c r="C26" s="233" t="n">
        <x:f>'新集群明细'!I8</x:f>
        <x:v>12.273316622318816</x:v>
      </x:c>
      <x:c r="D26" s="236" t="n">
        <x:f>'新集群明细'!J8</x:f>
        <x:v>0.06829656599328876</x:v>
      </x:c>
      <x:c r="E26" s="233" t="n">
        <x:f>'新集群明细'!F8</x:f>
        <x:v>2462.21592283</x:v>
      </x:c>
      <x:c r="F26" s="239" t="n">
        <x:f>'新集群明细'!O8</x:f>
        <x:v>13.38</x:v>
      </x:c>
    </x:row>
    <x:row r="27">
      <x:c r="A27" s="230" t="n">
        <x:f>'新集群明细'!A9</x:f>
        <x:v>5</x:v>
      </x:c>
      <x:c r="B27" s="230" t="str">
        <x:f>'新集群明细'!B9</x:f>
        <x:v>dns_log_local</x:v>
      </x:c>
      <x:c r="C27" s="233" t="n">
        <x:f>'新集群明细'!I9</x:f>
        <x:v>8.177807585342634</x:v>
      </x:c>
      <x:c r="D27" s="236" t="n">
        <x:f>'新集群明细'!J9</x:f>
        <x:v>0.04550654013252771</x:v>
      </x:c>
      <x:c r="E27" s="233" t="n">
        <x:f>'新集群明细'!F9</x:f>
        <x:v>2977.82769641</x:v>
      </x:c>
      <x:c r="F27" s="239" t="n">
        <x:f>'新集群明细'!O9</x:f>
        <x:v>23</x:v>
      </x:c>
    </x:row>
    <x:row r="28">
      <x:c r="A28" s="230" t="n">
        <x:f>'新集群明细'!A10</x:f>
        <x:v>6</x:v>
      </x:c>
      <x:c r="B28" s="230" t="str">
        <x:f>'新集群明细'!B10</x:f>
        <x:v>acl_log_local</x:v>
      </x:c>
      <x:c r="C28" s="233" t="n">
        <x:f>'新集群明细'!I10</x:f>
        <x:v>4.822222746982334</x:v>
      </x:c>
      <x:c r="D28" s="236" t="n">
        <x:f>'新集群明细'!J10</x:f>
        <x:v>0.026833924700900794</x:v>
      </x:c>
      <x:c r="E28" s="233" t="n">
        <x:f>'新集群明细'!F10</x:f>
        <x:v>762.06029612</x:v>
      </x:c>
      <x:c r="F28" s="239" t="n">
        <x:f>'新集群明细'!O10</x:f>
        <x:v>16.03</x:v>
      </x:c>
    </x:row>
    <x:row r="29">
      <x:c r="A29" s="230" t="n">
        <x:f>'新集群明细'!A11</x:f>
        <x:v>7</x:v>
      </x:c>
      <x:c r="B29" s="230" t="str">
        <x:f>'新集群明细'!B11</x:f>
        <x:v>parse_status_log_local</x:v>
      </x:c>
      <x:c r="C29" s="233" t="n">
        <x:f>'新集群明细'!I11</x:f>
        <x:v>3.746587048070978</x:v>
      </x:c>
      <x:c r="D29" s="236" t="n">
        <x:f>'新集群明细'!J11</x:f>
        <x:v>0.020848401247375047</x:v>
      </x:c>
      <x:c r="E29" s="233" t="n">
        <x:f>'新集群明细'!F11</x:f>
        <x:v>604.40530908</x:v>
      </x:c>
      <x:c r="F29" s="239" t="n">
        <x:f>'新集群明细'!O11</x:f>
        <x:v>17.48</x:v>
      </x:c>
    </x:row>
    <x:row r="30">
      <x:c r="A30" s="230" t="n">
        <x:f>'新集群明细'!A12</x:f>
        <x:v>8</x:v>
      </x:c>
      <x:c r="B30" s="230" t="str">
        <x:f>'新集群明细'!B12</x:f>
        <x:v>operation_log_local</x:v>
      </x:c>
      <x:c r="C30" s="233" t="n">
        <x:f>'新集群明细'!I12</x:f>
        <x:v>1.4492157974782458</x:v>
      </x:c>
      <x:c r="D30" s="236" t="n">
        <x:f>'新集群明细'!J12</x:f>
        <x:v>0.00806436152482228</x:v>
      </x:c>
      <x:c r="E30" s="233" t="n">
        <x:f>'新集群明细'!F12</x:f>
        <x:v>143.33406935</x:v>
      </x:c>
      <x:c r="F30" s="239" t="n">
        <x:f>'新集群明细'!O12</x:f>
        <x:v>23.76</x:v>
      </x:c>
    </x:row>
    <x:row r="31">
      <x:c r="A31" s="230" t="n">
        <x:f>'新集群明细'!A13</x:f>
        <x:v>9</x:v>
      </x:c>
      <x:c r="B31" s="230" t="str">
        <x:f>'新集群明细'!B13</x:f>
        <x:v>endpoint_security_log_local</x:v>
      </x:c>
      <x:c r="C31" s="233" t="n">
        <x:f>'新集群明细'!I13</x:f>
        <x:v>1.410791346017504</x:v>
      </x:c>
      <x:c r="D31" s="236" t="n">
        <x:f>'新集群明细'!J13</x:f>
        <x:v>0.007850543356050173</x:v>
      </x:c>
      <x:c r="E31" s="233" t="n">
        <x:f>'新集群明细'!F13</x:f>
        <x:v>21.21525178</x:v>
      </x:c>
      <x:c r="F31" s="239" t="n">
        <x:f>'新集群明细'!O13</x:f>
        <x:v>16.63</x:v>
      </x:c>
    </x:row>
    <x:row r="32">
      <x:c r="A32" s="231" t="n">
        <x:f>'新集群明细'!A14</x:f>
        <x:v>10</x:v>
      </x:c>
      <x:c r="B32" s="231" t="str">
        <x:f>'新集群明细'!B14</x:f>
        <x:v>icmp_log_local</x:v>
      </x:c>
      <x:c r="C32" s="234" t="n">
        <x:f>'新集群明细'!I14</x:f>
        <x:v>1.0986147914654794</x:v>
      </x:c>
      <x:c r="D32" s="237" t="n">
        <x:f>'新集群明细'!J14</x:f>
        <x:v>0.006113393788772756</x:v>
      </x:c>
      <x:c r="E32" s="234" t="n">
        <x:f>'新集群明细'!F14</x:f>
        <x:v>450.24769138</x:v>
      </x:c>
      <x:c r="F32" s="240" t="n">
        <x:f>'新集群明细'!O14</x:f>
        <x:v>33.87</x:v>
      </x:c>
    </x:row>
    <x:row r="35" ht="24" customHeight="1">
      <x:c r="A35" s="202" t="str">
        <x:v>核心结论与建议</x:v>
      </x:c>
      <x:c r="B35" s="203"/>
      <x:c r="C35" s="203"/>
      <x:c r="D35" s="203"/>
      <x:c r="E35" s="203"/>
      <x:c r="F35" s="203"/>
      <x:c r="G35" s="203"/>
      <x:c r="H35" s="203"/>
      <x:c r="I35" s="203"/>
      <x:c r="J35" s="203"/>
      <x:c r="K35" s="203"/>
      <x:c r="L35" s="203"/>
      <x:c r="M35" s="204"/>
    </x:row>
    <x:row r="36" ht="30" customHeight="1">
      <x:c r="A36" s="244" t="str">
        <x:v>1. 新集群共 59 张表、1.34 万亿行，双副本磁盘 179.71 TiB。</x:v>
      </x:c>
      <x:c r="B36" s="244"/>
      <x:c r="C36" s="244"/>
      <x:c r="D36" s="244"/>
      <x:c r="E36" s="244"/>
      <x:c r="F36" s="244"/>
      <x:c r="G36" s="244"/>
      <x:c r="H36" s="244"/>
      <x:c r="I36" s="244"/>
      <x:c r="J36" s="244"/>
      <x:c r="K36" s="244"/>
      <x:c r="L36" s="244"/>
      <x:c r="M36" s="244"/>
    </x:row>
    <x:row r="37" ht="30" customHeight="1">
      <x:c r="A37" s="248" t="str">
        <x:v>2. 容量仍然高度集中：最大表占 36.8%，Top 5 占 90.2%，Top 10 占 97.1%。</x:v>
      </x:c>
      <x:c r="B37" s="248"/>
      <x:c r="C37" s="248"/>
      <x:c r="D37" s="248"/>
      <x:c r="E37" s="248"/>
      <x:c r="F37" s="248"/>
      <x:c r="G37" s="248"/>
      <x:c r="H37" s="248"/>
      <x:c r="I37" s="248"/>
      <x:c r="J37" s="248"/>
      <x:c r="K37" s="248"/>
      <x:c r="L37" s="248"/>
      <x:c r="M37" s="248"/>
    </x:row>
    <x:row r="38" ht="30" customHeight="1">
      <x:c r="A38" s="244" t="str">
        <x:v>3. network_security_log_local 与 http_log_local 合计 126.06 TiB，占 70.1%。</x:v>
      </x:c>
      <x:c r="B38" s="244"/>
      <x:c r="C38" s="244"/>
      <x:c r="D38" s="244"/>
      <x:c r="E38" s="244"/>
      <x:c r="F38" s="244"/>
      <x:c r="G38" s="244"/>
      <x:c r="H38" s="244"/>
      <x:c r="I38" s="244"/>
      <x:c r="J38" s="244"/>
      <x:c r="K38" s="244"/>
      <x:c r="L38" s="244"/>
      <x:c r="M38" s="244"/>
    </x:row>
    <x:row r="39" ht="30" customHeight="1">
      <x:c r="A39" s="248" t="str">
        <x:v>4. dns_log_local 行数最多（2977.83 亿行），但容量为 8.18 TiB；仍需同时看行数与行宽。</x:v>
      </x:c>
      <x:c r="B39" s="248"/>
      <x:c r="C39" s="248"/>
      <x:c r="D39" s="248"/>
      <x:c r="E39" s="248"/>
      <x:c r="F39" s="248"/>
      <x:c r="G39" s="248"/>
      <x:c r="H39" s="248"/>
      <x:c r="I39" s="248"/>
      <x:c r="J39" s="248"/>
      <x:c r="K39" s="248"/>
      <x:c r="L39" s="248"/>
      <x:c r="M39" s="248"/>
    </x:row>
    <x:row r="40" ht="30" customHeight="1">
      <x:c r="A40" s="244" t="str">
        <x:v>5. 33 张小表合计仅 0.037 TiB（37.41 GiB），容量治理应优先聚焦头部表。</x:v>
      </x:c>
      <x:c r="B40" s="244"/>
      <x:c r="C40" s="244"/>
      <x:c r="D40" s="244"/>
      <x:c r="E40" s="244"/>
      <x:c r="F40" s="244"/>
      <x:c r="G40" s="244"/>
      <x:c r="H40" s="244"/>
      <x:c r="I40" s="244"/>
      <x:c r="J40" s="244"/>
      <x:c r="K40" s="244"/>
      <x:c r="L40" s="244"/>
      <x:c r="M40" s="244"/>
    </x:row>
  </x:sheetData>
  <x:mergeCells>
    <x:mergeCell ref="A1:M1"/>
    <x:mergeCell ref="A2:M2"/>
    <x:mergeCell ref="A4:C4"/>
    <x:mergeCell ref="A5:C6"/>
    <x:mergeCell ref="D4:F4"/>
    <x:mergeCell ref="D5:F6"/>
    <x:mergeCell ref="G4:I4"/>
    <x:mergeCell ref="G5:I6"/>
    <x:mergeCell ref="J4:M4"/>
    <x:mergeCell ref="J5:M6"/>
    <x:mergeCell ref="A8:C8"/>
    <x:mergeCell ref="A9:C10"/>
    <x:mergeCell ref="D8:F8"/>
    <x:mergeCell ref="D9:F10"/>
    <x:mergeCell ref="G8:I8"/>
    <x:mergeCell ref="G9:I10"/>
    <x:mergeCell ref="J8:M8"/>
    <x:mergeCell ref="J9:M10"/>
    <x:mergeCell ref="A12:E12"/>
    <x:mergeCell ref="G12:K12"/>
    <x:mergeCell ref="A20:F20"/>
    <x:mergeCell ref="A35:M35"/>
    <x:mergeCell ref="A36:M36"/>
    <x:mergeCell ref="A37:M37"/>
    <x:mergeCell ref="A38:M38"/>
    <x:mergeCell ref="A39:M39"/>
    <x:mergeCell ref="A40:M40"/>
  </x:mergeCells>
  <x:conditionalFormatting sqref="C23:C32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{DD0AE91F-BB87-518A-ADEF-736E5A5AD2AE}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cfe79d365104a1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D0AE91F-BB87-518A-ADEF-736E5A5AD2AE}">
            <x14:dataBar gradient="1">
              <x14:cfvo type="min"/>
              <x14:cfvo type="max"/>
              <x14:fillColor rgb="FF2F75B5"/>
            </x14:dataBar>
          </x14:cfRule>
          <xm:sqref>C23:C32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35" hidden="0" customWidth="1"/>
    <x:col min="4" max="4" width="16" hidden="0" customWidth="1"/>
    <x:col min="5" max="5" width="17" hidden="0" customWidth="1"/>
    <x:col min="6" max="6" width="13" hidden="0" customWidth="1"/>
    <x:col min="7" max="7" width="11" hidden="0" customWidth="1"/>
    <x:col min="8" max="8" width="3" hidden="0" customWidth="1"/>
    <x:col min="9" max="9" width="11" hidden="0" customWidth="1"/>
    <x:col min="10" max="10" width="10" hidden="0" customWidth="1"/>
    <x:col min="11" max="11" width="35" hidden="0" customWidth="1"/>
    <x:col min="12" max="12" width="16" hidden="0" customWidth="1"/>
    <x:col min="13" max="13" width="17" hidden="0" customWidth="1"/>
    <x:col min="14" max="14" width="13" hidden="0" customWidth="1"/>
    <x:col min="15" max="15" width="11" hidden="0" customWidth="1"/>
  </x:cols>
  <x:sheetData>
    <x:row r="1" ht="34" customHeight="1">
      <x:c r="A1" s="9" t="str">
        <x:v>新集群大表清单（≥100 GiB，共 23 张）</x:v>
      </x:c>
      <x:c r="B1" s="10"/>
      <x:c r="C1" s="10"/>
      <x:c r="D1" s="10"/>
      <x:c r="E1" s="10"/>
      <x:c r="F1" s="10"/>
      <x:c r="G1" s="11"/>
      <x:c r="I1" s="9" t="str">
        <x:v>新集群小表清单（&lt;10 GiB，共 33 张）</x:v>
      </x:c>
      <x:c r="J1" s="10"/>
      <x:c r="K1" s="10"/>
      <x:c r="L1" s="10"/>
      <x:c r="M1" s="10"/>
      <x:c r="N1" s="10"/>
      <x:c r="O1" s="11"/>
    </x:row>
    <x:row r="2">
      <x:c r="A2" s="250" t="str">
        <x:v>包含“超大表”和“大表”，按双副本磁盘容量降序。</x:v>
      </x:c>
      <x:c r="B2" s="250"/>
      <x:c r="C2" s="250"/>
      <x:c r="D2" s="250"/>
      <x:c r="E2" s="250"/>
      <x:c r="F2" s="250"/>
      <x:c r="G2" s="250"/>
      <x:c r="I2" s="252" t="str">
        <x:v>小表合计 0.037 TiB，仅占 0.020%。</x:v>
      </x:c>
      <x:c r="J2" s="252"/>
      <x:c r="K2" s="252"/>
      <x:c r="L2" s="252"/>
      <x:c r="M2" s="252"/>
      <x:c r="N2" s="252"/>
      <x:c r="O2" s="252"/>
    </x:row>
    <x:row r="4">
      <x:c r="A4" s="26" t="str">
        <x:v>容量级别</x:v>
      </x:c>
      <x:c r="B4" s="27" t="str">
        <x:v>容量排名</x:v>
      </x:c>
      <x:c r="C4" s="27" t="str">
        <x:v>表名</x:v>
      </x:c>
      <x:c r="D4" s="27" t="str">
        <x:v>总行数</x:v>
      </x:c>
      <x:c r="E4" s="27" t="str">
        <x:v>磁盘容量（TiB）</x:v>
      </x:c>
      <x:c r="F4" s="27" t="str">
        <x:v>容量占比</x:v>
      </x:c>
      <x:c r="G4" s="28" t="str">
        <x:v>压缩比</x:v>
      </x:c>
      <x:c r="I4" s="26" t="str">
        <x:v>容量级别</x:v>
      </x:c>
      <x:c r="J4" s="27" t="str">
        <x:v>容量排名</x:v>
      </x:c>
      <x:c r="K4" s="27" t="str">
        <x:v>表名</x:v>
      </x:c>
      <x:c r="L4" s="27" t="str">
        <x:v>总行数</x:v>
      </x:c>
      <x:c r="M4" s="27" t="str">
        <x:v>磁盘容量（TiB）</x:v>
      </x:c>
      <x:c r="N4" s="27" t="str">
        <x:v>容量占比</x:v>
      </x:c>
      <x:c r="O4" s="28" t="str">
        <x:v>压缩比</x:v>
      </x:c>
    </x:row>
    <x:row r="5">
      <x:c r="A5" s="229" t="str">
        <x:f>'新集群明细'!C5</x:f>
        <x:v>超大表</x:v>
      </x:c>
      <x:c r="B5" s="229" t="n">
        <x:f>'新集群明细'!A5</x:f>
        <x:v>1</x:v>
      </x:c>
      <x:c r="C5" s="229" t="str">
        <x:f>'新集群明细'!B5</x:f>
        <x:v>network_security_log_local</x:v>
      </x:c>
      <x:c r="D5" s="253" t="n">
        <x:f>'新集群明细'!E5</x:f>
        <x:v>243825658144</x:v>
      </x:c>
      <x:c r="E5" s="256" t="n">
        <x:f>'新集群明细'!I5</x:f>
        <x:v>66.06897742501769</x:v>
      </x:c>
      <x:c r="F5" s="259" t="n">
        <x:f>'新集群明细'!J5</x:f>
        <x:v>0.36764995279363316</x:v>
      </x:c>
      <x:c r="G5" s="238" t="n">
        <x:f>'新集群明细'!O5</x:f>
        <x:v>14.16</x:v>
      </x:c>
      <x:c r="I5" s="229" t="str">
        <x:f>'新集群明细'!C31</x:f>
        <x:v>小表</x:v>
      </x:c>
      <x:c r="J5" s="229" t="n">
        <x:f>'新集群明细'!A31</x:f>
        <x:v>27</x:v>
      </x:c>
      <x:c r="K5" s="229" t="str">
        <x:f>'新集群明细'!B31</x:f>
        <x:v>ssh_log_local</x:v>
      </x:c>
      <x:c r="L5" s="253" t="n">
        <x:f>'新集群明细'!E31</x:f>
        <x:v>117569669</x:v>
      </x:c>
      <x:c r="M5" s="256" t="n">
        <x:f>'新集群明细'!I31</x:f>
        <x:v>0.009288930788898142</x:v>
      </x:c>
      <x:c r="N5" s="259" t="n">
        <x:f>'新集群明细'!J31</x:f>
        <x:v>0.00005168953870850398</x:v>
      </x:c>
      <x:c r="O5" s="238" t="n">
        <x:f>'新集群明细'!O31</x:f>
        <x:v>14.63</x:v>
      </x:c>
    </x:row>
    <x:row r="6">
      <x:c r="A6" s="230" t="str">
        <x:f>'新集群明细'!C6</x:f>
        <x:v>超大表</x:v>
      </x:c>
      <x:c r="B6" s="230" t="n">
        <x:f>'新集群明细'!A6</x:f>
        <x:v>2</x:v>
      </x:c>
      <x:c r="C6" s="230" t="str">
        <x:f>'新集群明细'!B6</x:f>
        <x:v>http_log_local</x:v>
      </x:c>
      <x:c r="D6" s="254" t="n">
        <x:f>'新集群明细'!E6</x:f>
        <x:v>200316102935</x:v>
      </x:c>
      <x:c r="E6" s="257" t="n">
        <x:f>'新集群明细'!I6</x:f>
        <x:v>59.98859311475826</x:v>
      </x:c>
      <x:c r="F6" s="260" t="n">
        <x:f>'新集群明细'!J6</x:f>
        <x:v>0.33381481424966125</x:v>
      </x:c>
      <x:c r="G6" s="239" t="n">
        <x:f>'新集群明细'!O6</x:f>
        <x:v>7.59</x:v>
      </x:c>
      <x:c r="I6" s="230" t="str">
        <x:f>'新集群明细'!C32</x:f>
        <x:v>小表</x:v>
      </x:c>
      <x:c r="J6" s="230" t="n">
        <x:f>'新集群明细'!A32</x:f>
        <x:v>28</x:v>
      </x:c>
      <x:c r="K6" s="230" t="str">
        <x:f>'新集群明细'!B32</x:f>
        <x:v>ntlm_log_local</x:v>
      </x:c>
      <x:c r="L6" s="254" t="n">
        <x:f>'新集群明细'!E32</x:f>
        <x:v>228955033</x:v>
      </x:c>
      <x:c r="M6" s="257" t="n">
        <x:f>'新集群明细'!I32</x:f>
        <x:v>0.005685958348294662</x:v>
      </x:c>
      <x:c r="N6" s="260" t="n">
        <x:f>'新集群明细'!J32</x:f>
        <x:v>0.00003164030078578951</x:v>
      </x:c>
      <x:c r="O6" s="239" t="n">
        <x:f>'新集群明细'!O32</x:f>
        <x:v>24.97</x:v>
      </x:c>
    </x:row>
    <x:row r="7">
      <x:c r="A7" s="230" t="str">
        <x:f>'新集群明细'!C7</x:f>
        <x:v>超大表</x:v>
      </x:c>
      <x:c r="B7" s="230" t="n">
        <x:f>'新集群明细'!A7</x:f>
        <x:v>3</x:v>
      </x:c>
      <x:c r="C7" s="230" t="str">
        <x:f>'新集群明细'!B7</x:f>
        <x:v>ssl_tls_log_local</x:v>
      </x:c>
      <x:c r="D7" s="254" t="n">
        <x:f>'新集群明细'!E7</x:f>
        <x:v>35770546253</x:v>
      </x:c>
      <x:c r="E7" s="257" t="n">
        <x:f>'新集群明细'!I7</x:f>
        <x:v>15.518645351311534</x:v>
      </x:c>
      <x:c r="F7" s="260" t="n">
        <x:f>'新集群明细'!J7</x:f>
        <x:v>0.0863556460716524</x:v>
      </x:c>
      <x:c r="G7" s="239" t="n">
        <x:f>'新集群明细'!O7</x:f>
        <x:v>9.16</x:v>
      </x:c>
      <x:c r="I7" s="230" t="str">
        <x:f>'新集群明细'!C33</x:f>
        <x:v>小表</x:v>
      </x:c>
      <x:c r="J7" s="230" t="n">
        <x:f>'新集群明细'!A33</x:f>
        <x:v>29</x:v>
      </x:c>
      <x:c r="K7" s="230" t="str">
        <x:f>'新集群明细'!B33</x:f>
        <x:v>datalake_platform_log_local</x:v>
      </x:c>
      <x:c r="L7" s="254" t="n">
        <x:f>'新集群明细'!E33</x:f>
        <x:v>8782183</x:v>
      </x:c>
      <x:c r="M7" s="257" t="n">
        <x:f>'新集群明细'!I33</x:f>
        <x:v>0.0036902598667438724</x:v>
      </x:c>
      <x:c r="N7" s="260" t="n">
        <x:f>'新集群明细'!J33</x:f>
        <x:v>0.000020534960864868577</x:v>
      </x:c>
      <x:c r="O7" s="239" t="n">
        <x:f>'新集群明细'!O33</x:f>
        <x:v>11.73</x:v>
      </x:c>
    </x:row>
    <x:row r="8">
      <x:c r="A8" s="230" t="str">
        <x:f>'新集群明细'!C8</x:f>
        <x:v>超大表</x:v>
      </x:c>
      <x:c r="B8" s="230" t="n">
        <x:f>'新集群明细'!A8</x:f>
        <x:v>4</x:v>
      </x:c>
      <x:c r="C8" s="230" t="str">
        <x:f>'新集群明细'!B8</x:f>
        <x:v>tcp_log_local</x:v>
      </x:c>
      <x:c r="D8" s="254" t="n">
        <x:f>'新集群明细'!E8</x:f>
        <x:v>246221592283</x:v>
      </x:c>
      <x:c r="E8" s="257" t="n">
        <x:f>'新集群明细'!I8</x:f>
        <x:v>12.273316622318816</x:v>
      </x:c>
      <x:c r="F8" s="260" t="n">
        <x:f>'新集群明细'!J8</x:f>
        <x:v>0.06829656599328876</x:v>
      </x:c>
      <x:c r="G8" s="239" t="n">
        <x:f>'新集群明细'!O8</x:f>
        <x:v>13.38</x:v>
      </x:c>
      <x:c r="I8" s="230" t="str">
        <x:f>'新集群明细'!C34</x:f>
        <x:v>小表</x:v>
      </x:c>
      <x:c r="J8" s="230" t="n">
        <x:f>'新集群明细'!A34</x:f>
        <x:v>30</x:v>
      </x:c>
      <x:c r="K8" s="230" t="str">
        <x:f>'新集群明细'!B34</x:f>
        <x:v>pgsql_login_log_local</x:v>
      </x:c>
      <x:c r="L8" s="254" t="n">
        <x:f>'新集群明细'!E34</x:f>
        <x:v>17585184</x:v>
      </x:c>
      <x:c r="M8" s="257" t="n">
        <x:f>'新集群明细'!I34</x:f>
        <x:v>0.00309593724887236</x:v>
      </x:c>
      <x:c r="N8" s="260" t="n">
        <x:f>'新集群明细'!J34</x:f>
        <x:v>0.000017227770547709047</x:v>
      </x:c>
      <x:c r="O8" s="239" t="n">
        <x:f>'新集群明细'!O34</x:f>
        <x:v>8.04</x:v>
      </x:c>
    </x:row>
    <x:row r="9">
      <x:c r="A9" s="230" t="str">
        <x:f>'新集群明细'!C9</x:f>
        <x:v>超大表</x:v>
      </x:c>
      <x:c r="B9" s="230" t="n">
        <x:f>'新集群明细'!A9</x:f>
        <x:v>5</x:v>
      </x:c>
      <x:c r="C9" s="230" t="str">
        <x:f>'新集群明细'!B9</x:f>
        <x:v>dns_log_local</x:v>
      </x:c>
      <x:c r="D9" s="254" t="n">
        <x:f>'新集群明细'!E9</x:f>
        <x:v>297782769641</x:v>
      </x:c>
      <x:c r="E9" s="257" t="n">
        <x:f>'新集群明细'!I9</x:f>
        <x:v>8.177807585342634</x:v>
      </x:c>
      <x:c r="F9" s="260" t="n">
        <x:f>'新集群明细'!J9</x:f>
        <x:v>0.04550654013252771</x:v>
      </x:c>
      <x:c r="G9" s="239" t="n">
        <x:f>'新集群明细'!O9</x:f>
        <x:v>23</x:v>
      </x:c>
      <x:c r="I9" s="230" t="str">
        <x:f>'新集群明细'!C35</x:f>
        <x:v>小表</x:v>
      </x:c>
      <x:c r="J9" s="230" t="n">
        <x:f>'新集群明细'!A35</x:f>
        <x:v>31</x:v>
      </x:c>
      <x:c r="K9" s="230" t="str">
        <x:f>'新集群明细'!B35</x:f>
        <x:v>file_log_local</x:v>
      </x:c>
      <x:c r="L9" s="254" t="n">
        <x:f>'新集群明细'!E35</x:f>
        <x:v>581295</x:v>
      </x:c>
      <x:c r="M9" s="257" t="n">
        <x:f>'新集群明细'!I35</x:f>
        <x:v>0.0019881161952071125</x:v>
      </x:c>
      <x:c r="N9" s="260" t="n">
        <x:f>'新集群明细'!J35</x:f>
        <x:v>0.00001106314724101327</x:v>
      </x:c>
      <x:c r="O9" s="239" t="n">
        <x:f>'新集群明细'!O35</x:f>
        <x:v>3.6</x:v>
      </x:c>
    </x:row>
    <x:row r="10">
      <x:c r="A10" s="230" t="str">
        <x:f>'新集群明细'!C10</x:f>
        <x:v>超大表</x:v>
      </x:c>
      <x:c r="B10" s="230" t="n">
        <x:f>'新集群明细'!A10</x:f>
        <x:v>6</x:v>
      </x:c>
      <x:c r="C10" s="230" t="str">
        <x:f>'新集群明细'!B10</x:f>
        <x:v>acl_log_local</x:v>
      </x:c>
      <x:c r="D10" s="254" t="n">
        <x:f>'新集群明细'!E10</x:f>
        <x:v>76206029612</x:v>
      </x:c>
      <x:c r="E10" s="257" t="n">
        <x:f>'新集群明细'!I10</x:f>
        <x:v>4.822222746982334</x:v>
      </x:c>
      <x:c r="F10" s="260" t="n">
        <x:f>'新集群明细'!J10</x:f>
        <x:v>0.026833924700900794</x:v>
      </x:c>
      <x:c r="G10" s="239" t="n">
        <x:f>'新集群明细'!O10</x:f>
        <x:v>16.03</x:v>
      </x:c>
      <x:c r="I10" s="230" t="str">
        <x:f>'新集群明细'!C36</x:f>
        <x:v>小表</x:v>
      </x:c>
      <x:c r="J10" s="230" t="n">
        <x:f>'新集群明细'!A36</x:f>
        <x:v>32</x:v>
      </x:c>
      <x:c r="K10" s="230" t="str">
        <x:f>'新集群明细'!B36</x:f>
        <x:v>ftp_login_log_local</x:v>
      </x:c>
      <x:c r="L10" s="254" t="n">
        <x:f>'新集群明细'!E36</x:f>
        <x:v>95323743</x:v>
      </x:c>
      <x:c r="M10" s="257" t="n">
        <x:f>'新集群明细'!I36</x:f>
        <x:v>0.0017735944220476085</x:v>
      </x:c>
      <x:c r="N10" s="260" t="n">
        <x:f>'新集群明细'!J36</x:f>
        <x:v>0.000009869411196516332</x:v>
      </x:c>
      <x:c r="O10" s="239" t="n">
        <x:f>'新集群明细'!O36</x:f>
        <x:v>32.17</x:v>
      </x:c>
    </x:row>
    <x:row r="11">
      <x:c r="A11" s="230" t="str">
        <x:f>'新集群明细'!C11</x:f>
        <x:v>超大表</x:v>
      </x:c>
      <x:c r="B11" s="230" t="n">
        <x:f>'新集群明细'!A11</x:f>
        <x:v>7</x:v>
      </x:c>
      <x:c r="C11" s="230" t="str">
        <x:f>'新集群明细'!B11</x:f>
        <x:v>parse_status_log_local</x:v>
      </x:c>
      <x:c r="D11" s="254" t="n">
        <x:f>'新集群明细'!E11</x:f>
        <x:v>60440530908</x:v>
      </x:c>
      <x:c r="E11" s="257" t="n">
        <x:f>'新集群明细'!I11</x:f>
        <x:v>3.746587048070978</x:v>
      </x:c>
      <x:c r="F11" s="260" t="n">
        <x:f>'新集群明细'!J11</x:f>
        <x:v>0.020848401247375047</x:v>
      </x:c>
      <x:c r="G11" s="239" t="n">
        <x:f>'新集群明细'!O11</x:f>
        <x:v>17.48</x:v>
      </x:c>
      <x:c r="I11" s="230" t="str">
        <x:f>'新集群明细'!C37</x:f>
        <x:v>小表</x:v>
      </x:c>
      <x:c r="J11" s="230" t="n">
        <x:f>'新集群明细'!A37</x:f>
        <x:v>33</x:v>
      </x:c>
      <x:c r="K11" s="230" t="str">
        <x:f>'新集群明细'!B37</x:f>
        <x:v>datalake_report_log_local</x:v>
      </x:c>
      <x:c r="L11" s="254" t="n">
        <x:f>'新集群明细'!E37</x:f>
        <x:v>42506947</x:v>
      </x:c>
      <x:c r="M11" s="257" t="n">
        <x:f>'新集群明细'!I37</x:f>
        <x:v>0.0013881231825507712</x:v>
      </x:c>
      <x:c r="N11" s="260" t="n">
        <x:f>'新集群明细'!J37</x:f>
        <x:v>0.000007724403228667076</x:v>
      </x:c>
      <x:c r="O11" s="239" t="n">
        <x:f>'新集群明细'!O37</x:f>
        <x:v>4</x:v>
      </x:c>
    </x:row>
    <x:row r="12">
      <x:c r="A12" s="230" t="str">
        <x:f>'新集群明细'!C12</x:f>
        <x:v>超大表</x:v>
      </x:c>
      <x:c r="B12" s="230" t="n">
        <x:f>'新集群明细'!A12</x:f>
        <x:v>8</x:v>
      </x:c>
      <x:c r="C12" s="230" t="str">
        <x:f>'新集群明细'!B12</x:f>
        <x:v>operation_log_local</x:v>
      </x:c>
      <x:c r="D12" s="254" t="n">
        <x:f>'新集群明细'!E12</x:f>
        <x:v>14333406935</x:v>
      </x:c>
      <x:c r="E12" s="257" t="n">
        <x:f>'新集群明细'!I12</x:f>
        <x:v>1.4492157974782458</x:v>
      </x:c>
      <x:c r="F12" s="260" t="n">
        <x:f>'新集群明细'!J12</x:f>
        <x:v>0.00806436152482228</x:v>
      </x:c>
      <x:c r="G12" s="239" t="n">
        <x:f>'新集群明细'!O12</x:f>
        <x:v>23.76</x:v>
      </x:c>
      <x:c r="I12" s="230" t="str">
        <x:f>'新集群明细'!C38</x:f>
        <x:v>小表</x:v>
      </x:c>
      <x:c r="J12" s="230" t="n">
        <x:f>'新集群明细'!A38</x:f>
        <x:v>34</x:v>
      </x:c>
      <x:c r="K12" s="230" t="str">
        <x:f>'新集群明细'!B38</x:f>
        <x:v>count_log_local</x:v>
      </x:c>
      <x:c r="L12" s="254" t="n">
        <x:f>'新集群明细'!E38</x:f>
        <x:v>396817205</x:v>
      </x:c>
      <x:c r="M12" s="257" t="n">
        <x:f>'新集群明细'!I38</x:f>
        <x:v>0.0011600518910199753</x:v>
      </x:c>
      <x:c r="N12" s="260" t="n">
        <x:f>'新集群明细'!J38</x:f>
        <x:v>0.0000064552690172280895</x:v>
      </x:c>
      <x:c r="O12" s="239" t="n">
        <x:f>'新集群明细'!O38</x:f>
        <x:v>8.08</x:v>
      </x:c>
    </x:row>
    <x:row r="13">
      <x:c r="A13" s="230" t="str">
        <x:f>'新集群明细'!C13</x:f>
        <x:v>超大表</x:v>
      </x:c>
      <x:c r="B13" s="230" t="n">
        <x:f>'新集群明细'!A13</x:f>
        <x:v>9</x:v>
      </x:c>
      <x:c r="C13" s="230" t="str">
        <x:f>'新集群明细'!B13</x:f>
        <x:v>endpoint_security_log_local</x:v>
      </x:c>
      <x:c r="D13" s="254" t="n">
        <x:f>'新集群明细'!E13</x:f>
        <x:v>2121525178</x:v>
      </x:c>
      <x:c r="E13" s="257" t="n">
        <x:f>'新集群明细'!I13</x:f>
        <x:v>1.410791346017504</x:v>
      </x:c>
      <x:c r="F13" s="260" t="n">
        <x:f>'新集群明细'!J13</x:f>
        <x:v>0.007850543356050173</x:v>
      </x:c>
      <x:c r="G13" s="239" t="n">
        <x:f>'新集群明细'!O13</x:f>
        <x:v>16.63</x:v>
      </x:c>
      <x:c r="I13" s="230" t="str">
        <x:f>'新集群明细'!C39</x:f>
        <x:v>小表</x:v>
      </x:c>
      <x:c r="J13" s="230" t="n">
        <x:f>'新集群明细'!A39</x:f>
        <x:v>35</x:v>
      </x:c>
      <x:c r="K13" s="230" t="str">
        <x:f>'新集群明细'!B39</x:f>
        <x:v>onvif_log_local</x:v>
      </x:c>
      <x:c r="L13" s="254" t="n">
        <x:f>'新集群明细'!E39</x:f>
        <x:v>11688054</x:v>
      </x:c>
      <x:c r="M13" s="257" t="n">
        <x:f>'新集群明细'!I39</x:f>
        <x:v>0.0010510952242839267</x:v>
      </x:c>
      <x:c r="N13" s="260" t="n">
        <x:f>'新集群明细'!J39</x:f>
        <x:v>0.000005848964592015485</x:v>
      </x:c>
      <x:c r="O13" s="239" t="n">
        <x:f>'新集群明细'!O39</x:f>
        <x:v>44.54</x:v>
      </x:c>
    </x:row>
    <x:row r="14">
      <x:c r="A14" s="230" t="str">
        <x:f>'新集群明细'!C14</x:f>
        <x:v>超大表</x:v>
      </x:c>
      <x:c r="B14" s="230" t="n">
        <x:f>'新集群明细'!A14</x:f>
        <x:v>10</x:v>
      </x:c>
      <x:c r="C14" s="230" t="str">
        <x:f>'新集群明细'!B14</x:f>
        <x:v>icmp_log_local</x:v>
      </x:c>
      <x:c r="D14" s="254" t="n">
        <x:f>'新集群明细'!E14</x:f>
        <x:v>45024769138</x:v>
      </x:c>
      <x:c r="E14" s="257" t="n">
        <x:f>'新集群明细'!I14</x:f>
        <x:v>1.0986147914654794</x:v>
      </x:c>
      <x:c r="F14" s="260" t="n">
        <x:f>'新集群明细'!J14</x:f>
        <x:v>0.006113393788772756</x:v>
      </x:c>
      <x:c r="G14" s="239" t="n">
        <x:f>'新集群明细'!O14</x:f>
        <x:v>33.87</x:v>
      </x:c>
      <x:c r="I14" s="230" t="str">
        <x:f>'新集群明细'!C40</x:f>
        <x:v>小表</x:v>
      </x:c>
      <x:c r="J14" s="230" t="n">
        <x:f>'新集群明细'!A40</x:f>
        <x:v>36</x:v>
      </x:c>
      <x:c r="K14" s="230" t="str">
        <x:f>'新集群明细'!B40</x:f>
        <x:v>pop3_login_log_local</x:v>
      </x:c>
      <x:c r="L14" s="254" t="n">
        <x:f>'新集群明细'!E40</x:f>
        <x:v>29584275</x:v>
      </x:c>
      <x:c r="M14" s="257" t="n">
        <x:f>'新集群明细'!I40</x:f>
        <x:v>0.0009776023571248516</x:v>
      </x:c>
      <x:c r="N14" s="260" t="n">
        <x:f>'新集群明细'!J40</x:f>
        <x:v>0.000005440003379132063</x:v>
      </x:c>
      <x:c r="O14" s="239" t="n">
        <x:f>'新集群明细'!O40</x:f>
        <x:v>20.69</x:v>
      </x:c>
    </x:row>
    <x:row r="15">
      <x:c r="A15" s="230" t="str">
        <x:f>'新集群明细'!C15</x:f>
        <x:v>超大表</x:v>
      </x:c>
      <x:c r="B15" s="230" t="n">
        <x:f>'新集群明细'!A15</x:f>
        <x:v>11</x:v>
      </x:c>
      <x:c r="C15" s="230" t="str">
        <x:f>'新集群明细'!B15</x:f>
        <x:v>endpoint_telemetry_behavior_log_local</x:v>
      </x:c>
      <x:c r="D15" s="254" t="n">
        <x:f>'新集群明细'!E15</x:f>
        <x:v>3176749656</x:v>
      </x:c>
      <x:c r="E15" s="257" t="n">
        <x:f>'新集群明细'!I15</x:f>
        <x:v>1.0222511363235753</x:v>
      </x:c>
      <x:c r="F15" s="260" t="n">
        <x:f>'新集群明细'!J15</x:f>
        <x:v>0.00568845767953854</x:v>
      </x:c>
      <x:c r="G15" s="239" t="n">
        <x:f>'新集群明细'!O15</x:f>
        <x:v>13.99</x:v>
      </x:c>
      <x:c r="I15" s="230" t="str">
        <x:f>'新集群明细'!C41</x:f>
        <x:v>小表</x:v>
      </x:c>
      <x:c r="J15" s="230" t="n">
        <x:f>'新集群明细'!A41</x:f>
        <x:v>37</x:v>
      </x:c>
      <x:c r="K15" s="230" t="str">
        <x:f>'新集群明细'!B41</x:f>
        <x:v>weak_log_local</x:v>
      </x:c>
      <x:c r="L15" s="254" t="n">
        <x:f>'新集群明细'!E41</x:f>
        <x:v>5223188</x:v>
      </x:c>
      <x:c r="M15" s="257" t="n">
        <x:f>'新集群明细'!I41</x:f>
        <x:v>0.0008654871880935389</x:v>
      </x:c>
      <x:c r="N15" s="260" t="n">
        <x:f>'新集群明细'!J41</x:f>
        <x:v>0.000004816123031527284</x:v>
      </x:c>
      <x:c r="O15" s="239" t="n">
        <x:f>'新集群明细'!O41</x:f>
        <x:v>7.01</x:v>
      </x:c>
    </x:row>
    <x:row r="16">
      <x:c r="A16" s="230" t="str">
        <x:f>'新集群明细'!C16</x:f>
        <x:v>大表</x:v>
      </x:c>
      <x:c r="B16" s="230" t="n">
        <x:f>'新集群明细'!A16</x:f>
        <x:v>12</x:v>
      </x:c>
      <x:c r="C16" s="230" t="str">
        <x:f>'新集群明细'!B16</x:f>
        <x:v>asset_log_local</x:v>
      </x:c>
      <x:c r="D16" s="254" t="n">
        <x:f>'新集群明细'!E16</x:f>
        <x:v>2705437622</x:v>
      </x:c>
      <x:c r="E16" s="257" t="n">
        <x:f>'新集群明细'!I16</x:f>
        <x:v>0.7813773528805541</x:v>
      </x:c>
      <x:c r="F16" s="260" t="n">
        <x:f>'新集群明细'!J16</x:f>
        <x:v>0.004348082233096145</x:v>
      </x:c>
      <x:c r="G16" s="239" t="n">
        <x:f>'新集群明细'!O16</x:f>
        <x:v>18.16</x:v>
      </x:c>
      <x:c r="I16" s="230" t="str">
        <x:f>'新集群明细'!C42</x:f>
        <x:v>小表</x:v>
      </x:c>
      <x:c r="J16" s="230" t="n">
        <x:f>'新集群明细'!A42</x:f>
        <x:v>38</x:v>
      </x:c>
      <x:c r="K16" s="230" t="str">
        <x:f>'新集群明细'!B42</x:f>
        <x:v>ti_network_security_log_local</x:v>
      </x:c>
      <x:c r="L16" s="254" t="n">
        <x:f>'新集群明细'!E42</x:f>
        <x:v>52501841</x:v>
      </x:c>
      <x:c r="M16" s="257" t="n">
        <x:f>'新集群明细'!I42</x:f>
        <x:v>0.0007972115654411027</x:v>
      </x:c>
      <x:c r="N16" s="260" t="n">
        <x:f>'新集群明细'!J42</x:f>
        <x:v>0.0000044361938965015145</x:v>
      </x:c>
      <x:c r="O16" s="239" t="n">
        <x:f>'新集群明细'!O42</x:f>
        <x:v>2.4</x:v>
      </x:c>
    </x:row>
    <x:row r="17">
      <x:c r="A17" s="230" t="str">
        <x:f>'新集群明细'!C17</x:f>
        <x:v>大表</x:v>
      </x:c>
      <x:c r="B17" s="230" t="n">
        <x:f>'新集群明细'!A17</x:f>
        <x:v>13</x:v>
      </x:c>
      <x:c r="C17" s="230" t="str">
        <x:f>'新集群明细'!B17</x:f>
        <x:v>endpoint_behavior_log_local</x:v>
      </x:c>
      <x:c r="D17" s="254" t="n">
        <x:f>'新集群明细'!E17</x:f>
        <x:v>6802774502</x:v>
      </x:c>
      <x:c r="E17" s="257" t="n">
        <x:f>'新集群明细'!I17</x:f>
        <x:v>0.5663419589072873</x:v>
      </x:c>
      <x:c r="F17" s="260" t="n">
        <x:f>'新集群明细'!J17</x:f>
        <x:v>0.003151488074620555</x:v>
      </x:c>
      <x:c r="G17" s="239" t="n">
        <x:f>'新集群明细'!O17</x:f>
        <x:v>22.32</x:v>
      </x:c>
      <x:c r="I17" s="230" t="str">
        <x:f>'新集群明细'!C43</x:f>
        <x:v>小表</x:v>
      </x:c>
      <x:c r="J17" s="230" t="n">
        <x:f>'新集群明细'!A43</x:f>
        <x:v>39</x:v>
      </x:c>
      <x:c r="K17" s="230" t="str">
        <x:f>'新集群明细'!B43</x:f>
        <x:v>xdr_net_ops_local</x:v>
      </x:c>
      <x:c r="L17" s="254" t="n">
        <x:f>'新集群明细'!E43</x:f>
        <x:v>37893093</x:v>
      </x:c>
      <x:c r="M17" s="257" t="n">
        <x:f>'新集群明细'!I43</x:f>
        <x:v>0.0006092844241720741</x:v>
      </x:c>
      <x:c r="N17" s="260" t="n">
        <x:f>'新集群明细'!J43</x:f>
        <x:v>0.000003390447355401899</x:v>
      </x:c>
      <x:c r="O17" s="239" t="n">
        <x:f>'新集群明细'!O43</x:f>
        <x:v>11.09</x:v>
      </x:c>
    </x:row>
    <x:row r="18">
      <x:c r="A18" s="230" t="str">
        <x:f>'新集群明细'!C18</x:f>
        <x:v>大表</x:v>
      </x:c>
      <x:c r="B18" s="230" t="n">
        <x:f>'新集群明细'!A18</x:f>
        <x:v>14</x:v>
      </x:c>
      <x:c r="C18" s="230" t="str">
        <x:f>'新集群明细'!B18</x:f>
        <x:v>smb_log_local</x:v>
      </x:c>
      <x:c r="D18" s="254" t="n">
        <x:f>'新集群明细'!E18</x:f>
        <x:v>35026943219</x:v>
      </x:c>
      <x:c r="E18" s="257" t="n">
        <x:f>'新集群明细'!I18</x:f>
        <x:v>0.5518492703668016</x:v>
      </x:c>
      <x:c r="F18" s="260" t="n">
        <x:f>'新集群明细'!J18</x:f>
        <x:v>0.003070841506966175</x:v>
      </x:c>
      <x:c r="G18" s="239" t="n">
        <x:f>'新集群明细'!O18</x:f>
        <x:v>41.24</x:v>
      </x:c>
      <x:c r="I18" s="230" t="str">
        <x:f>'新集群明细'!C44</x:f>
        <x:v>小表</x:v>
      </x:c>
      <x:c r="J18" s="230" t="n">
        <x:f>'新集群明细'!A44</x:f>
        <x:v>40</x:v>
      </x:c>
      <x:c r="K18" s="230" t="str">
        <x:f>'新集群明细'!B44</x:f>
        <x:v>check_data_device_health_log_local</x:v>
      </x:c>
      <x:c r="L18" s="254" t="n">
        <x:f>'新集群明细'!E44</x:f>
        <x:v>3536991</x:v>
      </x:c>
      <x:c r="M18" s="257" t="n">
        <x:f>'新集群明细'!I44</x:f>
        <x:v>0.0006023336918588029</x:v>
      </x:c>
      <x:c r="N18" s="260" t="n">
        <x:f>'新集群明细'!J44</x:f>
        <x:v>0.0000033517690451502307</x:v>
      </x:c>
      <x:c r="O18" s="239" t="n">
        <x:f>'新集群明细'!O44</x:f>
        <x:v>13.34</x:v>
      </x:c>
    </x:row>
    <x:row r="19">
      <x:c r="A19" s="230" t="str">
        <x:f>'新集群明细'!C19</x:f>
        <x:v>大表</x:v>
      </x:c>
      <x:c r="B19" s="230" t="n">
        <x:f>'新集群明细'!A19</x:f>
        <x:v>15</x:v>
      </x:c>
      <x:c r="C19" s="230" t="str">
        <x:f>'新集群明细'!B19</x:f>
        <x:v>http_login_log_local</x:v>
      </x:c>
      <x:c r="D19" s="254" t="n">
        <x:f>'新集群明细'!E19</x:f>
        <x:v>909538452</x:v>
      </x:c>
      <x:c r="E19" s="257" t="n">
        <x:f>'新集群明细'!I19</x:f>
        <x:v>0.4406457593440791</x:v>
      </x:c>
      <x:c r="F19" s="260" t="n">
        <x:f>'新集群明细'!J19</x:f>
        <x:v>0.0024520342063024136</x:v>
      </x:c>
      <x:c r="G19" s="239" t="n">
        <x:f>'新集群明细'!O19</x:f>
        <x:v>9.91</x:v>
      </x:c>
      <x:c r="I19" s="230" t="str">
        <x:f>'新集群明细'!C45</x:f>
        <x:v>小表</x:v>
      </x:c>
      <x:c r="J19" s="230" t="n">
        <x:f>'新集群明细'!A45</x:f>
        <x:v>41</x:v>
      </x:c>
      <x:c r="K19" s="230" t="str">
        <x:f>'新集群明细'!B45</x:f>
        <x:v>pop3_log_local</x:v>
      </x:c>
      <x:c r="L19" s="254" t="n">
        <x:f>'新集群明细'!E45</x:f>
        <x:v>504222</x:v>
      </x:c>
      <x:c r="M19" s="257" t="n">
        <x:f>'新集群明细'!I45</x:f>
        <x:v>0.00048099003470269963</x:v>
      </x:c>
      <x:c r="N19" s="260" t="n">
        <x:f>'新集群明细'!J45</x:f>
        <x:v>0.00000267653550039197</x:v>
      </x:c>
      <x:c r="O19" s="239" t="n">
        <x:f>'新集群明细'!O45</x:f>
        <x:v>10.05</x:v>
      </x:c>
    </x:row>
    <x:row r="20">
      <x:c r="A20" s="230" t="str">
        <x:f>'新集群明细'!C20</x:f>
        <x:v>大表</x:v>
      </x:c>
      <x:c r="B20" s="230" t="n">
        <x:f>'新集群明细'!A20</x:f>
        <x:v>16</x:v>
      </x:c>
      <x:c r="C20" s="230" t="str">
        <x:f>'新集群明细'!B20</x:f>
        <x:v>sip_log_local</x:v>
      </x:c>
      <x:c r="D20" s="254" t="n">
        <x:f>'新集群明细'!E20</x:f>
        <x:v>5993224140</x:v>
      </x:c>
      <x:c r="E20" s="257" t="n">
        <x:f>'新集群明细'!I20</x:f>
        <x:v>0.3449153048986773</x:v>
      </x:c>
      <x:c r="F20" s="260" t="n">
        <x:f>'新集群明细'!J20</x:f>
        <x:v>0.00191932886667901</x:v>
      </x:c>
      <x:c r="G20" s="239" t="n">
        <x:f>'新集群明细'!O20</x:f>
        <x:v>15.28</x:v>
      </x:c>
      <x:c r="I20" s="230" t="str">
        <x:f>'新集群明细'!C46</x:f>
        <x:v>小表</x:v>
      </x:c>
      <x:c r="J20" s="230" t="n">
        <x:f>'新集群明细'!A46</x:f>
        <x:v>42</x:v>
      </x:c>
      <x:c r="K20" s="230" t="str">
        <x:f>'新集群明细'!B46</x:f>
        <x:v>ztna_access_log_local</x:v>
      </x:c>
      <x:c r="L20" s="254" t="n">
        <x:f>'新集群明细'!E46</x:f>
        <x:v>3286134</x:v>
      </x:c>
      <x:c r="M20" s="257" t="n">
        <x:f>'新集群明细'!I46</x:f>
        <x:v>0.0004622974893209175</x:v>
      </x:c>
      <x:c r="N20" s="260" t="n">
        <x:f>'新集群明细'!J46</x:f>
        <x:v>0.0000025725182491032774</x:v>
      </x:c>
      <x:c r="O20" s="239" t="n">
        <x:f>'新集群明细'!O46</x:f>
        <x:v>23.35</x:v>
      </x:c>
    </x:row>
    <x:row r="21">
      <x:c r="A21" s="230" t="str">
        <x:f>'新集群明细'!C21</x:f>
        <x:v>大表</x:v>
      </x:c>
      <x:c r="B21" s="230" t="n">
        <x:f>'新集群明细'!A21</x:f>
        <x:v>17</x:v>
      </x:c>
      <x:c r="C21" s="230" t="str">
        <x:f>'新集群明细'!B21</x:f>
        <x:v>snmp_log_local</x:v>
      </x:c>
      <x:c r="D21" s="254" t="n">
        <x:f>'新集群明细'!E21</x:f>
        <x:v>6563920146</x:v>
      </x:c>
      <x:c r="E21" s="257" t="n">
        <x:f>'新集群明细'!I21</x:f>
        <x:v>0.31385346317529184</x:v>
      </x:c>
      <x:c r="F21" s="260" t="n">
        <x:f>'新集群明细'!J21</x:f>
        <x:v>0.0017464809569887698</x:v>
      </x:c>
      <x:c r="G21" s="239" t="n">
        <x:f>'新集群明细'!O21</x:f>
        <x:v>19.27</x:v>
      </x:c>
      <x:c r="I21" s="230" t="str">
        <x:f>'新集群明细'!C47</x:f>
        <x:v>小表</x:v>
      </x:c>
      <x:c r="J21" s="230" t="n">
        <x:f>'新集群明细'!A47</x:f>
        <x:v>43</x:v>
      </x:c>
      <x:c r="K21" s="230" t="str">
        <x:f>'新集群明细'!B47</x:f>
        <x:v>ldap_log_local</x:v>
      </x:c>
      <x:c r="L21" s="254" t="n">
        <x:f>'新集群明细'!E47</x:f>
        <x:v>19115243</x:v>
      </x:c>
      <x:c r="M21" s="257" t="n">
        <x:f>'新集群明细'!I47</x:f>
        <x:v>0.0004284540755179478</x:v>
      </x:c>
      <x:c r="N21" s="260" t="n">
        <x:f>'新集群明细'!J47</x:f>
        <x:v>0.0000023841918972816775</x:v>
      </x:c>
      <x:c r="O21" s="239" t="n">
        <x:f>'新集群明细'!O47</x:f>
        <x:v>30.17</x:v>
      </x:c>
    </x:row>
    <x:row r="22">
      <x:c r="A22" s="230" t="str">
        <x:f>'新集群明细'!C22</x:f>
        <x:v>大表</x:v>
      </x:c>
      <x:c r="B22" s="230" t="n">
        <x:f>'新集群明细'!A22</x:f>
        <x:v>18</x:v>
      </x:c>
      <x:c r="C22" s="230" t="str">
        <x:f>'新集群明细'!B22</x:f>
        <x:v>dhcp_log_local</x:v>
      </x:c>
      <x:c r="D22" s="254" t="n">
        <x:f>'新集群明细'!E22</x:f>
        <x:v>10693387799</x:v>
      </x:c>
      <x:c r="E22" s="257" t="n">
        <x:f>'新集群明细'!I22</x:f>
        <x:v>0.2890531611501501</x:v>
      </x:c>
      <x:c r="F22" s="260" t="n">
        <x:f>'新集群明细'!J22</x:f>
        <x:v>0.0016084762500268813</x:v>
      </x:c>
      <x:c r="G22" s="239" t="n">
        <x:f>'新集群明细'!O22</x:f>
        <x:v>24.83</x:v>
      </x:c>
      <x:c r="I22" s="230" t="str">
        <x:f>'新集群明细'!C48</x:f>
        <x:v>小表</x:v>
      </x:c>
      <x:c r="J22" s="230" t="n">
        <x:f>'新集群明细'!A48</x:f>
        <x:v>44</x:v>
      </x:c>
      <x:c r="K22" s="230" t="str">
        <x:f>'新集群明细'!B48</x:f>
        <x:v>socks_log_local</x:v>
      </x:c>
      <x:c r="L22" s="254" t="n">
        <x:f>'新集群明细'!E48</x:f>
        <x:v>18580720</x:v>
      </x:c>
      <x:c r="M22" s="257" t="n">
        <x:f>'新集群明细'!I48</x:f>
        <x:v>0.000418362381424231</x:v>
      </x:c>
      <x:c r="N22" s="260" t="n">
        <x:f>'新集群明细'!J48</x:f>
        <x:v>0.000002328035271255892</x:v>
      </x:c>
      <x:c r="O22" s="239" t="n">
        <x:f>'新集群明细'!O48</x:f>
        <x:v>30</x:v>
      </x:c>
    </x:row>
    <x:row r="23">
      <x:c r="A23" s="230" t="str">
        <x:f>'新集群明细'!C23</x:f>
        <x:v>大表</x:v>
      </x:c>
      <x:c r="B23" s="230" t="n">
        <x:f>'新集群明细'!A23</x:f>
        <x:v>19</x:v>
      </x:c>
      <x:c r="C23" s="230" t="str">
        <x:f>'新集群明细'!B23</x:f>
        <x:v>sql_server_log_local</x:v>
      </x:c>
      <x:c r="D23" s="254" t="n">
        <x:f>'新集群明细'!E23</x:f>
        <x:v>6124442857</x:v>
      </x:c>
      <x:c r="E23" s="257" t="n">
        <x:f>'新集群明细'!I23</x:f>
        <x:v>0.17594653883679712</x:v>
      </x:c>
      <x:c r="F23" s="260" t="n">
        <x:f>'新集群明细'!J23</x:f>
        <x:v>0.000979078823657672</x:v>
      </x:c>
      <x:c r="G23" s="239" t="n">
        <x:f>'新集群明细'!O23</x:f>
        <x:v>40.92</x:v>
      </x:c>
      <x:c r="I23" s="230" t="str">
        <x:f>'新集群明细'!C49</x:f>
        <x:v>小表</x:v>
      </x:c>
      <x:c r="J23" s="230" t="n">
        <x:f>'新集群明细'!A49</x:f>
        <x:v>45</x:v>
      </x:c>
      <x:c r="K23" s="230" t="str">
        <x:f>'新集群明细'!B49</x:f>
        <x:v>vpn_log_local</x:v>
      </x:c>
      <x:c r="L23" s="254" t="n">
        <x:f>'新集群明细'!E49</x:f>
        <x:v>14884462</x:v>
      </x:c>
      <x:c r="M23" s="257" t="n">
        <x:f>'新集群明细'!I49</x:f>
        <x:v>0.0003928599417122314</x:v>
      </x:c>
      <x:c r="N23" s="260" t="n">
        <x:f>'新集群明细'!J49</x:f>
        <x:v>0.0000021861234221300295</x:v>
      </x:c>
      <x:c r="O23" s="239" t="n">
        <x:f>'新集群明细'!O49</x:f>
        <x:v>31.42</x:v>
      </x:c>
    </x:row>
    <x:row r="24">
      <x:c r="A24" s="230" t="str">
        <x:f>'新集群明细'!C24</x:f>
        <x:v>大表</x:v>
      </x:c>
      <x:c r="B24" s="230" t="n">
        <x:f>'新集群明细'!A24</x:f>
        <x:v>20</x:v>
      </x:c>
      <x:c r="C24" s="230" t="str">
        <x:f>'新集群明细'!B24</x:f>
        <x:v>mysql_log_local</x:v>
      </x:c>
      <x:c r="D24" s="254" t="n">
        <x:f>'新集群明细'!E24</x:f>
        <x:v>6639528278</x:v>
      </x:c>
      <x:c r="E24" s="257" t="n">
        <x:f>'新集群明细'!I24</x:f>
        <x:v>0.1566763154914952</x:v>
      </x:c>
      <x:c r="F24" s="260" t="n">
        <x:f>'新集群明细'!J24</x:f>
        <x:v>0.0008718470035305403</x:v>
      </x:c>
      <x:c r="G24" s="239" t="n">
        <x:f>'新集群明细'!O24</x:f>
        <x:v>63.65</x:v>
      </x:c>
      <x:c r="I24" s="230" t="str">
        <x:f>'新集群明细'!C50</x:f>
        <x:v>小表</x:v>
      </x:c>
      <x:c r="J24" s="230" t="n">
        <x:f>'新集群明细'!A50</x:f>
        <x:v>46</x:v>
      </x:c>
      <x:c r="K24" s="230" t="str">
        <x:f>'新集群明细'!B50</x:f>
        <x:v>ztna_user_log_local</x:v>
      </x:c>
      <x:c r="L24" s="254" t="n">
        <x:f>'新集群明细'!E50</x:f>
        <x:v>4329974</x:v>
      </x:c>
      <x:c r="M24" s="257" t="n">
        <x:f>'新集群明细'!I50</x:f>
        <x:v>0.0003899194362020353</x:v>
      </x:c>
      <x:c r="N24" s="260" t="n">
        <x:f>'新集群明细'!J50</x:f>
        <x:v>0.0000021697605729662152</x:v>
      </x:c>
      <x:c r="O24" s="239" t="n">
        <x:f>'新集群明细'!O50</x:f>
        <x:v>8.77</x:v>
      </x:c>
    </x:row>
    <x:row r="25">
      <x:c r="A25" s="230" t="str">
        <x:f>'新集群明细'!C25</x:f>
        <x:v>大表</x:v>
      </x:c>
      <x:c r="B25" s="230" t="n">
        <x:f>'新集群明细'!A25</x:f>
        <x:v>21</x:v>
      </x:c>
      <x:c r="C25" s="230" t="str">
        <x:f>'新集群明细'!B25</x:f>
        <x:v>alert_relation_log_local</x:v>
      </x:c>
      <x:c r="D25" s="254" t="n">
        <x:f>'新集群明细'!E25</x:f>
        <x:v>19612192583</x:v>
      </x:c>
      <x:c r="E25" s="257" t="n">
        <x:f>'新集群明细'!I25</x:f>
        <x:v>0.13985567220879602</x:v>
      </x:c>
      <x:c r="F25" s="260" t="n">
        <x:f>'新集群明细'!J25</x:f>
        <x:v>0.000778246210089151</x:v>
      </x:c>
      <x:c r="G25" s="239" t="n">
        <x:f>'新集群明细'!O25</x:f>
        <x:v>27.66</x:v>
      </x:c>
      <x:c r="I25" s="230" t="str">
        <x:f>'新集群明细'!C51</x:f>
        <x:v>小表</x:v>
      </x:c>
      <x:c r="J25" s="230" t="n">
        <x:f>'新集群明细'!A51</x:f>
        <x:v>47</x:v>
      </x:c>
      <x:c r="K25" s="230" t="str">
        <x:f>'新集群明细'!B51</x:f>
        <x:v>alp_log_local</x:v>
      </x:c>
      <x:c r="L25" s="254" t="n">
        <x:f>'新集群明细'!E51</x:f>
        <x:v>11288242</x:v>
      </x:c>
      <x:c r="M25" s="257" t="n">
        <x:f>'新集群明细'!I51</x:f>
        <x:v>0.00035491686503519304</x:v>
      </x:c>
      <x:c r="N25" s="260" t="n">
        <x:f>'新集群明细'!J51</x:f>
        <x:v>0.000001974983929847285</x:v>
      </x:c>
      <x:c r="O25" s="239" t="n">
        <x:f>'新集群明细'!O51</x:f>
        <x:v>54.49</x:v>
      </x:c>
    </x:row>
    <x:row r="26">
      <x:c r="A26" s="230" t="str">
        <x:f>'新集群明细'!C26</x:f>
        <x:v>大表</x:v>
      </x:c>
      <x:c r="B26" s="230" t="n">
        <x:f>'新集群明细'!A26</x:f>
        <x:v>22</x:v>
      </x:c>
      <x:c r="C26" s="230" t="str">
        <x:f>'新集群明细'!B26</x:f>
        <x:v>rdp_log_local</x:v>
      </x:c>
      <x:c r="D26" s="254" t="n">
        <x:f>'新集群明细'!E26</x:f>
        <x:v>4886724951</x:v>
      </x:c>
      <x:c r="E26" s="257" t="n">
        <x:f>'新集群明细'!I26</x:f>
        <x:v>0.12525967955389206</x:v>
      </x:c>
      <x:c r="F26" s="260" t="n">
        <x:f>'新集群明细'!J26</x:f>
        <x:v>0.0006970247924178721</x:v>
      </x:c>
      <x:c r="G26" s="239" t="n">
        <x:f>'新集群明细'!O26</x:f>
        <x:v>25.37</x:v>
      </x:c>
      <x:c r="I26" s="230" t="str">
        <x:f>'新集群明细'!C52</x:f>
        <x:v>小表</x:v>
      </x:c>
      <x:c r="J26" s="230" t="n">
        <x:f>'新集群明细'!A52</x:f>
        <x:v>48</x:v>
      </x:c>
      <x:c r="K26" s="230" t="str">
        <x:f>'新集群明细'!B52</x:f>
        <x:v>smtp_log_local</x:v>
      </x:c>
      <x:c r="L26" s="254" t="n">
        <x:f>'新集群明细'!E52</x:f>
        <x:v>429181</x:v>
      </x:c>
      <x:c r="M26" s="257" t="n">
        <x:f>'新集群明细'!I52</x:f>
        <x:v>0.00019042908024857752</x:v>
      </x:c>
      <x:c r="N26" s="260" t="n">
        <x:f>'新集群明细'!J52</x:f>
        <x:v>0.0000010596689262124714</x:v>
      </x:c>
      <x:c r="O26" s="239" t="n">
        <x:f>'新集群明细'!O52</x:f>
        <x:v>11.58</x:v>
      </x:c>
    </x:row>
    <x:row r="27">
      <x:c r="A27" s="231" t="str">
        <x:f>'新集群明细'!C27</x:f>
        <x:v>大表</x:v>
      </x:c>
      <x:c r="B27" s="231" t="n">
        <x:f>'新集群明细'!A27</x:f>
        <x:v>23</x:v>
      </x:c>
      <x:c r="C27" s="231" t="str">
        <x:f>'新集群明细'!B27</x:f>
        <x:v>redis_log_local</x:v>
      </x:c>
      <x:c r="D27" s="255" t="n">
        <x:f>'新集群明细'!E27</x:f>
        <x:v>4634751367</x:v>
      </x:c>
      <x:c r="E27" s="258" t="n">
        <x:f>'新集群明细'!I27</x:f>
        <x:v>0.1032997623879055</x:v>
      </x:c>
      <x:c r="F27" s="261" t="n">
        <x:f>'新集群明细'!J27</x:f>
        <x:v>0.0005748257994246808</x:v>
      </x:c>
      <x:c r="G27" s="240" t="n">
        <x:f>'新集群明细'!O27</x:f>
        <x:v>32.89</x:v>
      </x:c>
      <x:c r="I27" s="230" t="str">
        <x:f>'新集群明细'!C53</x:f>
        <x:v>小表</x:v>
      </x:c>
      <x:c r="J27" s="230" t="n">
        <x:f>'新集群明细'!A53</x:f>
        <x:v>49</x:v>
      </x:c>
      <x:c r="K27" s="230" t="str">
        <x:f>'新集群明细'!B53</x:f>
        <x:v>nfs_log_local</x:v>
      </x:c>
      <x:c r="L27" s="254" t="n">
        <x:f>'新集群明细'!E53</x:f>
        <x:v>17720061</x:v>
      </x:c>
      <x:c r="M27" s="257" t="n">
        <x:f>'新集群明细'!I53</x:f>
        <x:v>0.0001352531871816609</x:v>
      </x:c>
      <x:c r="N27" s="260" t="n">
        <x:f>'新集群明细'!J53</x:f>
        <x:v>7.526350462887121e-7</x:v>
      </x:c>
      <x:c r="O27" s="239" t="n">
        <x:f>'新集群明细'!O53</x:f>
        <x:v>97.68</x:v>
      </x:c>
    </x:row>
    <x:row r="28">
      <x:c r="I28" s="230" t="str">
        <x:f>'新集群明细'!C54</x:f>
        <x:v>小表</x:v>
      </x:c>
      <x:c r="J28" s="230" t="n">
        <x:f>'新集群明细'!A54</x:f>
        <x:v>50</x:v>
      </x:c>
      <x:c r="K28" s="230" t="str">
        <x:f>'新集群明细'!B54</x:f>
        <x:v>imap_login_log_local</x:v>
      </x:c>
      <x:c r="L28" s="254" t="n">
        <x:f>'新集群明细'!E54</x:f>
        <x:v>4143007</x:v>
      </x:c>
      <x:c r="M28" s="257" t="n">
        <x:f>'新集群明细'!I54</x:f>
        <x:v>0.00012740189868054586</x:v>
      </x:c>
      <x:c r="N28" s="260" t="n">
        <x:f>'新集群明细'!J54</x:f>
        <x:v>7.089454667113667e-7</x:v>
      </x:c>
      <x:c r="O28" s="239" t="n">
        <x:f>'新集群明细'!O54</x:f>
        <x:v>21.53</x:v>
      </x:c>
    </x:row>
    <x:row r="29">
      <x:c r="I29" s="230" t="str">
        <x:f>'新集群明细'!C55</x:f>
        <x:v>小表</x:v>
      </x:c>
      <x:c r="J29" s="230" t="n">
        <x:f>'新集群明细'!A55</x:f>
        <x:v>51</x:v>
      </x:c>
      <x:c r="K29" s="230" t="str">
        <x:f>'新集群明细'!B55</x:f>
        <x:v>smtp_login_log_local</x:v>
      </x:c>
      <x:c r="L29" s="254" t="n">
        <x:f>'新集群明细'!E55</x:f>
        <x:v>2959778</x:v>
      </x:c>
      <x:c r="M29" s="257" t="n">
        <x:f>'新集群明细'!I55</x:f>
        <x:v>0.00008604832055425504</x:v>
      </x:c>
      <x:c r="N29" s="260" t="n">
        <x:f>'新集群明细'!J55</x:f>
        <x:v>4.788277679285546e-7</x:v>
      </x:c>
      <x:c r="O29" s="239" t="n">
        <x:f>'新集群明细'!O55</x:f>
        <x:v>23.31</x:v>
      </x:c>
    </x:row>
    <x:row r="30">
      <x:c r="I30" s="230" t="str">
        <x:f>'新集群明细'!C56</x:f>
        <x:v>小表</x:v>
      </x:c>
      <x:c r="J30" s="230" t="n">
        <x:f>'新集群明细'!A56</x:f>
        <x:v>52</x:v>
      </x:c>
      <x:c r="K30" s="230" t="str">
        <x:f>'新集群明细'!B56</x:f>
        <x:v>db2_log_local</x:v>
      </x:c>
      <x:c r="L30" s="254" t="n">
        <x:f>'新集群明细'!E56</x:f>
        <x:v>1410331</x:v>
      </x:c>
      <x:c r="M30" s="257" t="n">
        <x:f>'新集群明细'!I56</x:f>
        <x:v>0.000032207924959948286</x:v>
      </x:c>
      <x:c r="N30" s="260" t="n">
        <x:f>'新集群明细'!J56</x:f>
        <x:v>1.7922544819986968e-7</x:v>
      </x:c>
      <x:c r="O30" s="239" t="n">
        <x:f>'新集群明细'!O56</x:f>
        <x:v>32.67</x:v>
      </x:c>
    </x:row>
    <x:row r="31">
      <x:c r="I31" s="230" t="str">
        <x:f>'新集群明细'!C57</x:f>
        <x:v>小表</x:v>
      </x:c>
      <x:c r="J31" s="230" t="n">
        <x:f>'新集群明细'!A57</x:f>
        <x:v>53</x:v>
      </x:c>
      <x:c r="K31" s="230" t="str">
        <x:f>'新集群明细'!B57</x:f>
        <x:v>telnet_login_log_local</x:v>
      </x:c>
      <x:c r="L31" s="254" t="n">
        <x:f>'新集群明细'!E57</x:f>
        <x:v>658518</x:v>
      </x:c>
      <x:c r="M31" s="257" t="n">
        <x:f>'新集群明细'!I57</x:f>
        <x:v>0.000029440392609103583</x:v>
      </x:c>
      <x:c r="N31" s="260" t="n">
        <x:f>'新集群明细'!J57</x:f>
        <x:v>1.6382513207877245e-7</x:v>
      </x:c>
      <x:c r="O31" s="239" t="n">
        <x:f>'新集群明细'!O57</x:f>
        <x:v>15.91</x:v>
      </x:c>
    </x:row>
    <x:row r="32">
      <x:c r="I32" s="230" t="str">
        <x:f>'新集群明细'!C58</x:f>
        <x:v>小表</x:v>
      </x:c>
      <x:c r="J32" s="230" t="n">
        <x:f>'新集群明细'!A58</x:f>
        <x:v>54</x:v>
      </x:c>
      <x:c r="K32" s="230" t="str">
        <x:f>'新集群明细'!B58</x:f>
        <x:v>ai_security_log_local</x:v>
      </x:c>
      <x:c r="L32" s="254" t="n">
        <x:f>'新集群明细'!E58</x:f>
        <x:v>26944</x:v>
      </x:c>
      <x:c r="M32" s="257" t="n">
        <x:f>'新集群明细'!I58</x:f>
        <x:v>0.000011394919056328945</x:v>
      </x:c>
      <x:c r="N32" s="260" t="n">
        <x:f>'新集群明细'!J58</x:f>
        <x:v>6.340860138029427e-8</x:v>
      </x:c>
      <x:c r="O32" s="239" t="n">
        <x:f>'新集群明细'!O58</x:f>
        <x:v>4.02</x:v>
      </x:c>
    </x:row>
    <x:row r="33">
      <x:c r="I33" s="230" t="str">
        <x:f>'新集群明细'!C59</x:f>
        <x:v>小表</x:v>
      </x:c>
      <x:c r="J33" s="230" t="n">
        <x:f>'新集群明细'!A59</x:f>
        <x:v>55</x:v>
      </x:c>
      <x:c r="K33" s="230" t="str">
        <x:f>'新集群明细'!B59</x:f>
        <x:v>asset_log_local_old</x:v>
      </x:c>
      <x:c r="L33" s="254" t="n">
        <x:f>'新集群明细'!E59</x:f>
        <x:v>26001</x:v>
      </x:c>
      <x:c r="M33" s="257" t="n">
        <x:f>'新集群明细'!I59</x:f>
        <x:v>0.000009981682524085045</x:v>
      </x:c>
      <x:c r="N33" s="260" t="n">
        <x:f>'新集群明细'!J59</x:f>
        <x:v>5.5544451447666964e-8</x:v>
      </x:c>
      <x:c r="O33" s="239" t="n">
        <x:f>'新集群明细'!O59</x:f>
        <x:v>15.44</x:v>
      </x:c>
    </x:row>
    <x:row r="34">
      <x:c r="I34" s="230" t="str">
        <x:f>'新集群明细'!C60</x:f>
        <x:v>小表</x:v>
      </x:c>
      <x:c r="J34" s="230" t="n">
        <x:f>'新集群明细'!A60</x:f>
        <x:v>56</x:v>
      </x:c>
      <x:c r="K34" s="230" t="str">
        <x:f>'新集群明细'!B60</x:f>
        <x:v>imap_log_local</x:v>
      </x:c>
      <x:c r="L34" s="254" t="n">
        <x:f>'新集群明细'!E60</x:f>
        <x:v>3896</x:v>
      </x:c>
      <x:c r="M34" s="257" t="n">
        <x:f>'新集群明细'!I60</x:f>
        <x:v>0.00000712462770025013</x:v>
      </x:c>
      <x:c r="N34" s="260" t="n">
        <x:f>'新集群明细'!J60</x:f>
        <x:v>3.9645975157431765e-8</x:v>
      </x:c>
      <x:c r="O34" s="239" t="n">
        <x:f>'新集群明细'!O60</x:f>
        <x:v>4.65</x:v>
      </x:c>
    </x:row>
    <x:row r="35">
      <x:c r="I35" s="230" t="str">
        <x:f>'新集群明细'!C61</x:f>
        <x:v>小表</x:v>
      </x:c>
      <x:c r="J35" s="230" t="n">
        <x:f>'新集群明细'!A61</x:f>
        <x:v>57</x:v>
      </x:c>
      <x:c r="K35" s="230" t="str">
        <x:f>'新集群明细'!B61</x:f>
        <x:v>sas_log_local</x:v>
      </x:c>
      <x:c r="L35" s="254" t="n">
        <x:f>'新集群明细'!E61</x:f>
        <x:v>246</x:v>
      </x:c>
      <x:c r="M35" s="257" t="n">
        <x:f>'新集群明细'!I61</x:f>
        <x:v>8.970773706096224e-7</x:v>
      </x:c>
      <x:c r="N35" s="260" t="n">
        <x:f>'新集群明细'!J61</x:f>
        <x:v>4.991910966552635e-9</x:v>
      </x:c>
      <x:c r="O35" s="239" t="n">
        <x:f>'新集群明细'!O61</x:f>
        <x:v>0.36</x:v>
      </x:c>
    </x:row>
    <x:row r="36">
      <x:c r="I36" s="230" t="str">
        <x:f>'新集群明细'!C62</x:f>
        <x:v>小表</x:v>
      </x:c>
      <x:c r="J36" s="230" t="n">
        <x:f>'新集群明细'!A62</x:f>
        <x:v>58</x:v>
      </x:c>
      <x:c r="K36" s="230" t="str">
        <x:f>'新集群明细'!B62</x:f>
        <x:v>ztna_user_security_log_local</x:v>
      </x:c>
      <x:c r="L36" s="254" t="n">
        <x:f>'新集群明细'!E62</x:f>
        <x:v>1603</x:v>
      </x:c>
      <x:c r="M36" s="257" t="n">
        <x:f>'新集群明细'!I62</x:f>
        <x:v>7.162543624872342e-7</x:v>
      </x:c>
      <x:c r="N36" s="260" t="n">
        <x:f>'新集群明细'!J62</x:f>
        <x:v>3.985696355835418e-9</x:v>
      </x:c>
      <x:c r="O36" s="239" t="n">
        <x:f>'新集群明细'!O62</x:f>
        <x:v>4.72</x:v>
      </x:c>
    </x:row>
    <x:row r="37">
      <x:c r="I37" s="231" t="str">
        <x:f>'新集群明细'!C63</x:f>
        <x:v>小表</x:v>
      </x:c>
      <x:c r="J37" s="231" t="n">
        <x:f>'新集群明细'!A63</x:f>
        <x:v>59</x:v>
      </x:c>
      <x:c r="K37" s="231" t="str">
        <x:f>'新集群明细'!B63</x:f>
        <x:v>black_write_node_local</x:v>
      </x:c>
      <x:c r="L37" s="255" t="n">
        <x:f>'新集群明细'!E63</x:f>
        <x:v>12</x:v>
      </x:c>
      <x:c r="M37" s="258" t="n">
        <x:f>'新集群明细'!I63</x:f>
        <x:v>2.874003257602453e-10</x:v>
      </x:c>
      <x:c r="N37" s="261" t="n">
        <x:f>'新集群明细'!J63</x:f>
        <x:v>1.5992788191484665e-12</x:v>
      </x:c>
      <x:c r="O37" s="240" t="n">
        <x:f>'新集群明细'!O63</x:f>
        <x:v>1.66</x:v>
      </x:c>
    </x:row>
  </x:sheetData>
  <x:mergeCells>
    <x:mergeCell ref="A1:G1"/>
    <x:mergeCell ref="I1:O1"/>
    <x:mergeCell ref="A2:G2"/>
    <x:mergeCell ref="I2:O2"/>
  </x:mergeCells>
  <x:conditionalFormatting sqref="A5:A27">
    <x:cfRule type="containsText" dxfId="4" priority="1" operator="containsText" text="大表"/>
    <x:cfRule type="containsText" dxfId="5" priority="2" operator="containsText" text="超大表"/>
    <x:cfRule type="containsText" dxfId="6" priority="3" operator="containsText" text="中表"/>
    <x:cfRule type="containsText" dxfId="7" priority="4" operator="containsText" text="小表"/>
  </x:conditionalFormatting>
  <x:conditionalFormatting sqref="I5:I37">
    <x:cfRule type="containsText" dxfId="8" priority="5" operator="containsText" text="大表"/>
    <x:cfRule type="containsText" dxfId="9" priority="6" operator="containsText" text="超大表"/>
    <x:cfRule type="containsText" dxfId="10" priority="7" operator="containsText" text="中表"/>
    <x:cfRule type="containsText" dxfId="11" priority="8" operator="containsText" text="小表"/>
  </x:conditionalFormatting>
  <x:pageMargins left="0.7" right="0.7" top="0.75" bottom="0.75" header="0.3" footer="0.3"/>
  <x:tableParts count="2">
    <x:tablePart xmlns:r="http://schemas.openxmlformats.org/officeDocument/2006/relationships" r:id="R7ce0589904f441e5"/>
    <x:tablePart xmlns:r="http://schemas.openxmlformats.org/officeDocument/2006/relationships" r:id="R5eef415cf8d544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1" hidden="0" customWidth="1"/>
    <x:col min="4" max="4" width="12" hidden="0" customWidth="1"/>
    <x:col min="5" max="5" width="16" hidden="0" customWidth="1"/>
    <x:col min="6" max="6" width="12" hidden="0" customWidth="1"/>
    <x:col min="7" max="7" width="21" hidden="0" customWidth="1"/>
    <x:col min="8" max="8" width="22" hidden="0" customWidth="1"/>
    <x:col min="9" max="9" width="16" hidden="0" customWidth="1"/>
    <x:col min="10" max="10" width="12" hidden="0" customWidth="1"/>
    <x:col min="11" max="11" width="15" hidden="0" customWidth="1"/>
    <x:col min="12" max="12" width="17" hidden="0" customWidth="1"/>
    <x:col min="13" max="13" width="13" hidden="0" customWidth="1"/>
    <x:col min="14" max="14" width="13" hidden="0" customWidth="1"/>
    <x:col min="15" max="15" width="11" hidden="0" customWidth="1"/>
    <x:col min="16" max="16" width="15" hidden="0" customWidth="1"/>
  </x:cols>
  <x:sheetData>
    <x:row r="1" ht="34" customHeight="1">
      <x:c r="A1" s="9" t="str">
        <x:v>新集群 business 数据库各表规模明细（双副本）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1"/>
    </x:row>
    <x:row r="2" ht="28" customHeight="1">
      <x:c r="A2" s="15" t="str">
        <x:v>按 disk_total_bytes 从大到小排序；容量与行数分层由“新集群汇总”页阈值驱动。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4" ht="34" customHeight="1">
      <x:c r="A4" s="26" t="str">
        <x:v>容量排名</x:v>
      </x:c>
      <x:c r="B4" s="27" t="str">
        <x:v>表名</x:v>
      </x:c>
      <x:c r="C4" s="27" t="str">
        <x:v>容量级别</x:v>
      </x:c>
      <x:c r="D4" s="27" t="str">
        <x:v>行数级别</x:v>
      </x:c>
      <x:c r="E4" s="27" t="str">
        <x:v>总行数</x:v>
      </x:c>
      <x:c r="F4" s="27" t="str">
        <x:v>行数（亿）</x:v>
      </x:c>
      <x:c r="G4" s="27" t="str">
        <x:v>原始字节数</x:v>
      </x:c>
      <x:c r="H4" s="27" t="str">
        <x:v>磁盘字节数（双副本）</x:v>
      </x:c>
      <x:c r="I4" s="27" t="str">
        <x:v>磁盘容量（TiB）</x:v>
      </x:c>
      <x:c r="J4" s="27" t="str">
        <x:v>容量占比</x:v>
      </x:c>
      <x:c r="K4" s="27" t="str">
        <x:v>累计容量占比</x:v>
      </x:c>
      <x:c r="L4" s="27" t="str">
        <x:v>原始数据量（TiB）</x:v>
      </x:c>
      <x:c r="M4" s="27" t="str">
        <x:v>原始B/行</x:v>
      </x:c>
      <x:c r="N4" s="27" t="str">
        <x:v>磁盘B/行</x:v>
      </x:c>
      <x:c r="O4" s="27" t="str">
        <x:v>压缩比</x:v>
      </x:c>
      <x:c r="P4" s="28" t="str">
        <x:v>原容量文本</x:v>
      </x:c>
    </x:row>
    <x:row r="5">
      <x:c r="A5" s="36" t="n">
        <x:f>ROW()-4</x:f>
        <x:v>1</x:v>
      </x:c>
      <x:c r="B5" s="33" t="str">
        <x:v>network_security_log_local</x:v>
      </x:c>
      <x:c r="C5" s="36" t="str">
        <x:f>IF(I5*1024&gt;='新集群汇总'!$B$14,"超大表",IF(I5*1024&gt;='新集群汇总'!$B$15,"大表",IF(I5*1024&gt;='新集群汇总'!$B$16,"中表","小表")))</x:f>
        <x:v>超大表</x:v>
      </x:c>
      <x:c r="D5" s="36" t="str">
        <x:f>IF(E5&gt;='新集群汇总'!$H$14,"超高行数",IF(E5&gt;='新集群汇总'!$H$15,"高行数",IF(E5&gt;='新集群汇总'!$H$16,"中行数","低行数")))</x:f>
        <x:v>超高行数</x:v>
      </x:c>
      <x:c r="E5" s="42" t="n">
        <x:v>243825658144</x:v>
      </x:c>
      <x:c r="F5" s="45" t="n">
        <x:f>E5/100000000</x:f>
        <x:v>2438.25658144</x:v>
      </x:c>
      <x:c r="G5" s="42" t="n">
        <x:v>1028881098564733</x:v>
      </x:c>
      <x:c r="H5" s="42" t="n">
        <x:v>72643608914077</x:v>
      </x:c>
      <x:c r="I5" s="48" t="n">
        <x:f>H5/1099511627776</x:f>
        <x:v>66.06897742501769</x:v>
      </x:c>
      <x:c r="J5" s="51" t="n">
        <x:f>H5/SUM($H$5:$H$63)</x:f>
        <x:v>0.36764995279363316</x:v>
      </x:c>
      <x:c r="K5" s="51" t="n">
        <x:f>SUM($J$5:J5)</x:f>
        <x:v>0.36764995279363316</x:v>
      </x:c>
      <x:c r="L5" s="48" t="n">
        <x:f>G5/1099511627776</x:f>
        <x:v>935.7619078989346</x:v>
      </x:c>
      <x:c r="M5" s="45" t="n">
        <x:v>4219.74</x:v>
      </x:c>
      <x:c r="N5" s="45" t="n">
        <x:v>297.93</x:v>
      </x:c>
      <x:c r="O5" s="45" t="n">
        <x:v>14.16</x:v>
      </x:c>
      <x:c r="P5" s="33" t="str">
        <x:v>66.07 TiB</x:v>
      </x:c>
    </x:row>
    <x:row r="6">
      <x:c r="A6" s="37" t="n">
        <x:f>ROW()-4</x:f>
        <x:v>2</x:v>
      </x:c>
      <x:c r="B6" s="34" t="str">
        <x:v>http_log_local</x:v>
      </x:c>
      <x:c r="C6" s="37" t="str">
        <x:f>IF(I6*1024&gt;='新集群汇总'!$B$14,"超大表",IF(I6*1024&gt;='新集群汇总'!$B$15,"大表",IF(I6*1024&gt;='新集群汇总'!$B$16,"中表","小表")))</x:f>
        <x:v>超大表</x:v>
      </x:c>
      <x:c r="D6" s="37" t="str">
        <x:f>IF(E6&gt;='新集群汇总'!$H$14,"超高行数",IF(E6&gt;='新集群汇总'!$H$15,"高行数",IF(E6&gt;='新集群汇总'!$H$16,"中行数","低行数")))</x:f>
        <x:v>超高行数</x:v>
      </x:c>
      <x:c r="E6" s="43" t="n">
        <x:v>200316102935</x:v>
      </x:c>
      <x:c r="F6" s="46" t="n">
        <x:f>E6/100000000</x:f>
        <x:v>2003.16102935</x:v>
      </x:c>
      <x:c r="G6" s="43" t="n">
        <x:v>500614526418129</x:v>
      </x:c>
      <x:c r="H6" s="43" t="n">
        <x:v>65958155663600</x:v>
      </x:c>
      <x:c r="I6" s="49" t="n">
        <x:f>H6/1099511627776</x:f>
        <x:v>59.98859311475826</x:v>
      </x:c>
      <x:c r="J6" s="52" t="n">
        <x:f>H6/SUM($H$5:$H$63)</x:f>
        <x:v>0.33381481424966125</x:v>
      </x:c>
      <x:c r="K6" s="52" t="n">
        <x:f>SUM($J$5:J6)</x:f>
        <x:v>0.7014647670432944</x:v>
      </x:c>
      <x:c r="L6" s="49" t="n">
        <x:f>G6/1099511627776</x:f>
        <x:v>455.30625940785194</x:v>
      </x:c>
      <x:c r="M6" s="46" t="n">
        <x:v>2499.12</x:v>
      </x:c>
      <x:c r="N6" s="46" t="n">
        <x:v>329.27</x:v>
      </x:c>
      <x:c r="O6" s="46" t="n">
        <x:v>7.59</x:v>
      </x:c>
      <x:c r="P6" s="34" t="str">
        <x:v>59.99 TiB</x:v>
      </x:c>
    </x:row>
    <x:row r="7">
      <x:c r="A7" s="37" t="n">
        <x:f>ROW()-4</x:f>
        <x:v>3</x:v>
      </x:c>
      <x:c r="B7" s="34" t="str">
        <x:v>ssl_tls_log_local</x:v>
      </x:c>
      <x:c r="C7" s="37" t="str">
        <x:f>IF(I7*1024&gt;='新集群汇总'!$B$14,"超大表",IF(I7*1024&gt;='新集群汇总'!$B$15,"大表",IF(I7*1024&gt;='新集群汇总'!$B$16,"中表","小表")))</x:f>
        <x:v>超大表</x:v>
      </x:c>
      <x:c r="D7" s="37" t="str">
        <x:f>IF(E7&gt;='新集群汇总'!$H$14,"超高行数",IF(E7&gt;='新集群汇总'!$H$15,"高行数",IF(E7&gt;='新集群汇总'!$H$16,"中行数","低行数")))</x:f>
        <x:v>超高行数</x:v>
      </x:c>
      <x:c r="E7" s="43" t="n">
        <x:v>35770546253</x:v>
      </x:c>
      <x:c r="F7" s="46" t="n">
        <x:f>E7/100000000</x:f>
        <x:v>357.70546253</x:v>
      </x:c>
      <x:c r="G7" s="43" t="n">
        <x:v>156294422147028</x:v>
      </x:c>
      <x:c r="H7" s="43" t="n">
        <x:v>17062931011099</x:v>
      </x:c>
      <x:c r="I7" s="49" t="n">
        <x:f>H7/1099511627776</x:f>
        <x:v>15.518645351311534</x:v>
      </x:c>
      <x:c r="J7" s="52" t="n">
        <x:f>H7/SUM($H$5:$H$63)</x:f>
        <x:v>0.0863556460716524</x:v>
      </x:c>
      <x:c r="K7" s="52" t="n">
        <x:f>SUM($J$5:J7)</x:f>
        <x:v>0.7878204131149468</x:v>
      </x:c>
      <x:c r="L7" s="49" t="n">
        <x:f>G7/1099511627776</x:f>
        <x:v>142.14894885938338</x:v>
      </x:c>
      <x:c r="M7" s="46" t="n">
        <x:v>4369.36</x:v>
      </x:c>
      <x:c r="N7" s="46" t="n">
        <x:v>477.01</x:v>
      </x:c>
      <x:c r="O7" s="46" t="n">
        <x:v>9.16</x:v>
      </x:c>
      <x:c r="P7" s="34" t="str">
        <x:v>15.52 TiB</x:v>
      </x:c>
    </x:row>
    <x:row r="8">
      <x:c r="A8" s="37" t="n">
        <x:f>ROW()-4</x:f>
        <x:v>4</x:v>
      </x:c>
      <x:c r="B8" s="34" t="str">
        <x:v>tcp_log_local</x:v>
      </x:c>
      <x:c r="C8" s="37" t="str">
        <x:f>IF(I8*1024&gt;='新集群汇总'!$B$14,"超大表",IF(I8*1024&gt;='新集群汇总'!$B$15,"大表",IF(I8*1024&gt;='新集群汇总'!$B$16,"中表","小表")))</x:f>
        <x:v>超大表</x:v>
      </x:c>
      <x:c r="D8" s="37" t="str">
        <x:f>IF(E8&gt;='新集群汇总'!$H$14,"超高行数",IF(E8&gt;='新集群汇总'!$H$15,"高行数",IF(E8&gt;='新集群汇总'!$H$16,"中行数","低行数")))</x:f>
        <x:v>超高行数</x:v>
      </x:c>
      <x:c r="E8" s="43" t="n">
        <x:v>246221592283</x:v>
      </x:c>
      <x:c r="F8" s="46" t="n">
        <x:f>E8/100000000</x:f>
        <x:v>2462.21592283</x:v>
      </x:c>
      <x:c r="G8" s="43" t="n">
        <x:v>180504556158454</x:v>
      </x:c>
      <x:c r="H8" s="43" t="n">
        <x:v>13494654337616</x:v>
      </x:c>
      <x:c r="I8" s="49" t="n">
        <x:f>H8/1099511627776</x:f>
        <x:v>12.273316622318816</x:v>
      </x:c>
      <x:c r="J8" s="52" t="n">
        <x:f>H8/SUM($H$5:$H$63)</x:f>
        <x:v>0.06829656599328876</x:v>
      </x:c>
      <x:c r="K8" s="52" t="n">
        <x:f>SUM($J$5:J8)</x:f>
        <x:v>0.8561169791082355</x:v>
      </x:c>
      <x:c r="L8" s="49" t="n">
        <x:f>G8/1099511627776</x:f>
        <x:v>164.1679374719879</x:v>
      </x:c>
      <x:c r="M8" s="46" t="n">
        <x:v>733.1</x:v>
      </x:c>
      <x:c r="N8" s="46" t="n">
        <x:v>54.81</x:v>
      </x:c>
      <x:c r="O8" s="46" t="n">
        <x:v>13.38</x:v>
      </x:c>
      <x:c r="P8" s="34" t="str">
        <x:v>12.27 TiB</x:v>
      </x:c>
    </x:row>
    <x:row r="9">
      <x:c r="A9" s="37" t="n">
        <x:f>ROW()-4</x:f>
        <x:v>5</x:v>
      </x:c>
      <x:c r="B9" s="34" t="str">
        <x:v>dns_log_local</x:v>
      </x:c>
      <x:c r="C9" s="37" t="str">
        <x:f>IF(I9*1024&gt;='新集群汇总'!$B$14,"超大表",IF(I9*1024&gt;='新集群汇总'!$B$15,"大表",IF(I9*1024&gt;='新集群汇总'!$B$16,"中表","小表")))</x:f>
        <x:v>超大表</x:v>
      </x:c>
      <x:c r="D9" s="37" t="str">
        <x:f>IF(E9&gt;='新集群汇总'!$H$14,"超高行数",IF(E9&gt;='新集群汇总'!$H$15,"高行数",IF(E9&gt;='新集群汇总'!$H$16,"中行数","低行数")))</x:f>
        <x:v>超高行数</x:v>
      </x:c>
      <x:c r="E9" s="43" t="n">
        <x:v>297782769641</x:v>
      </x:c>
      <x:c r="F9" s="46" t="n">
        <x:f>E9/100000000</x:f>
        <x:v>2977.82769641</x:v>
      </x:c>
      <x:c r="G9" s="43" t="n">
        <x:v>206849153391665</x:v>
      </x:c>
      <x:c r="H9" s="43" t="n">
        <x:v>8991594529799</x:v>
      </x:c>
      <x:c r="I9" s="49" t="n">
        <x:f>H9/1099511627776</x:f>
        <x:v>8.177807585342634</x:v>
      </x:c>
      <x:c r="J9" s="52" t="n">
        <x:f>H9/SUM($H$5:$H$63)</x:f>
        <x:v>0.04550654013252771</x:v>
      </x:c>
      <x:c r="K9" s="52" t="n">
        <x:f>SUM($J$5:J9)</x:f>
        <x:v>0.9016235192407632</x:v>
      </x:c>
      <x:c r="L9" s="49" t="n">
        <x:f>G9/1099511627776</x:f>
        <x:v>188.12820907593505</x:v>
      </x:c>
      <x:c r="M9" s="46" t="n">
        <x:v>694.63</x:v>
      </x:c>
      <x:c r="N9" s="46" t="n">
        <x:v>30.2</x:v>
      </x:c>
      <x:c r="O9" s="46" t="n">
        <x:v>23</x:v>
      </x:c>
      <x:c r="P9" s="34" t="str">
        <x:v>8.18 TiB</x:v>
      </x:c>
    </x:row>
    <x:row r="10">
      <x:c r="A10" s="37" t="n">
        <x:f>ROW()-4</x:f>
        <x:v>6</x:v>
      </x:c>
      <x:c r="B10" s="34" t="str">
        <x:v>acl_log_local</x:v>
      </x:c>
      <x:c r="C10" s="37" t="str">
        <x:f>IF(I10*1024&gt;='新集群汇总'!$B$14,"超大表",IF(I10*1024&gt;='新集群汇总'!$B$15,"大表",IF(I10*1024&gt;='新集群汇总'!$B$16,"中表","小表")))</x:f>
        <x:v>超大表</x:v>
      </x:c>
      <x:c r="D10" s="37" t="str">
        <x:f>IF(E10&gt;='新集群汇总'!$H$14,"超高行数",IF(E10&gt;='新集群汇总'!$H$15,"高行数",IF(E10&gt;='新集群汇总'!$H$16,"中行数","低行数")))</x:f>
        <x:v>超高行数</x:v>
      </x:c>
      <x:c r="E10" s="43" t="n">
        <x:v>76206029612</x:v>
      </x:c>
      <x:c r="F10" s="46" t="n">
        <x:f>E10/100000000</x:f>
        <x:v>762.06029612</x:v>
      </x:c>
      <x:c r="G10" s="43" t="n">
        <x:v>85013854744141</x:v>
      </x:c>
      <x:c r="H10" s="43" t="n">
        <x:v>5302089982033</x:v>
      </x:c>
      <x:c r="I10" s="49" t="n">
        <x:f>H10/1099511627776</x:f>
        <x:v>4.822222746982334</x:v>
      </x:c>
      <x:c r="J10" s="52" t="n">
        <x:f>H10/SUM($H$5:$H$63)</x:f>
        <x:v>0.026833924700900794</x:v>
      </x:c>
      <x:c r="K10" s="52" t="n">
        <x:f>SUM($J$5:J10)</x:f>
        <x:v>0.9284574439416641</x:v>
      </x:c>
      <x:c r="L10" s="49" t="n">
        <x:f>G10/1099511627776</x:f>
        <x:v>77.31965046708956</x:v>
      </x:c>
      <x:c r="M10" s="46" t="n">
        <x:v>1115.58</x:v>
      </x:c>
      <x:c r="N10" s="46" t="n">
        <x:v>69.58</x:v>
      </x:c>
      <x:c r="O10" s="46" t="n">
        <x:v>16.03</x:v>
      </x:c>
      <x:c r="P10" s="34" t="str">
        <x:v>4.82 TiB</x:v>
      </x:c>
    </x:row>
    <x:row r="11">
      <x:c r="A11" s="37" t="n">
        <x:f>ROW()-4</x:f>
        <x:v>7</x:v>
      </x:c>
      <x:c r="B11" s="34" t="str">
        <x:v>parse_status_log_local</x:v>
      </x:c>
      <x:c r="C11" s="37" t="str">
        <x:f>IF(I11*1024&gt;='新集群汇总'!$B$14,"超大表",IF(I11*1024&gt;='新集群汇总'!$B$15,"大表",IF(I11*1024&gt;='新集群汇总'!$B$16,"中表","小表")))</x:f>
        <x:v>超大表</x:v>
      </x:c>
      <x:c r="D11" s="37" t="str">
        <x:f>IF(E11&gt;='新集群汇总'!$H$14,"超高行数",IF(E11&gt;='新集群汇总'!$H$15,"高行数",IF(E11&gt;='新集群汇总'!$H$16,"中行数","低行数")))</x:f>
        <x:v>超高行数</x:v>
      </x:c>
      <x:c r="E11" s="43" t="n">
        <x:v>60440530908</x:v>
      </x:c>
      <x:c r="F11" s="46" t="n">
        <x:f>E11/100000000</x:f>
        <x:v>604.40530908</x:v>
      </x:c>
      <x:c r="G11" s="43" t="n">
        <x:v>72017410682775</x:v>
      </x:c>
      <x:c r="H11" s="43" t="n">
        <x:v>4119416023829</x:v>
      </x:c>
      <x:c r="I11" s="49" t="n">
        <x:f>H11/1099511627776</x:f>
        <x:v>3.746587048070978</x:v>
      </x:c>
      <x:c r="J11" s="52" t="n">
        <x:f>H11/SUM($H$5:$H$63)</x:f>
        <x:v>0.020848401247375047</x:v>
      </x:c>
      <x:c r="K11" s="52" t="n">
        <x:f>SUM($J$5:J11)</x:f>
        <x:v>0.9493058451890392</x:v>
      </x:c>
      <x:c r="L11" s="49" t="n">
        <x:f>G11/1099511627776</x:f>
        <x:v>65.49945345138894</x:v>
      </x:c>
      <x:c r="M11" s="46" t="n">
        <x:v>1191.54</x:v>
      </x:c>
      <x:c r="N11" s="46" t="n">
        <x:v>68.16</x:v>
      </x:c>
      <x:c r="O11" s="46" t="n">
        <x:v>17.48</x:v>
      </x:c>
      <x:c r="P11" s="34" t="str">
        <x:v>3.75 TiB</x:v>
      </x:c>
    </x:row>
    <x:row r="12">
      <x:c r="A12" s="37" t="n">
        <x:f>ROW()-4</x:f>
        <x:v>8</x:v>
      </x:c>
      <x:c r="B12" s="34" t="str">
        <x:v>operation_log_local</x:v>
      </x:c>
      <x:c r="C12" s="37" t="str">
        <x:f>IF(I12*1024&gt;='新集群汇总'!$B$14,"超大表",IF(I12*1024&gt;='新集群汇总'!$B$15,"大表",IF(I12*1024&gt;='新集群汇总'!$B$16,"中表","小表")))</x:f>
        <x:v>超大表</x:v>
      </x:c>
      <x:c r="D12" s="37" t="str">
        <x:f>IF(E12&gt;='新集群汇总'!$H$14,"超高行数",IF(E12&gt;='新集群汇总'!$H$15,"高行数",IF(E12&gt;='新集群汇总'!$H$16,"中行数","低行数")))</x:f>
        <x:v>超高行数</x:v>
      </x:c>
      <x:c r="E12" s="43" t="n">
        <x:v>14333406935</x:v>
      </x:c>
      <x:c r="F12" s="46" t="n">
        <x:f>E12/100000000</x:f>
        <x:v>143.33406935</x:v>
      </x:c>
      <x:c r="G12" s="43" t="n">
        <x:v>37865706398894</x:v>
      </x:c>
      <x:c r="H12" s="43" t="n">
        <x:v>1593429620484</x:v>
      </x:c>
      <x:c r="I12" s="49" t="n">
        <x:f>H12/1099511627776</x:f>
        <x:v>1.4492157974782458</x:v>
      </x:c>
      <x:c r="J12" s="52" t="n">
        <x:f>H12/SUM($H$5:$H$63)</x:f>
        <x:v>0.00806436152482228</x:v>
      </x:c>
      <x:c r="K12" s="52" t="n">
        <x:f>SUM($J$5:J12)</x:f>
        <x:v>0.9573702067138614</x:v>
      </x:c>
      <x:c r="L12" s="49" t="n">
        <x:f>G12/1099511627776</x:f>
        <x:v>34.43865934868336</x:v>
      </x:c>
      <x:c r="M12" s="46" t="n">
        <x:v>2641.78</x:v>
      </x:c>
      <x:c r="N12" s="46" t="n">
        <x:v>111.17</x:v>
      </x:c>
      <x:c r="O12" s="46" t="n">
        <x:v>23.76</x:v>
      </x:c>
      <x:c r="P12" s="34" t="str">
        <x:v>1.45 TiB</x:v>
      </x:c>
    </x:row>
    <x:row r="13">
      <x:c r="A13" s="37" t="n">
        <x:f>ROW()-4</x:f>
        <x:v>9</x:v>
      </x:c>
      <x:c r="B13" s="34" t="str">
        <x:v>endpoint_security_log_local</x:v>
      </x:c>
      <x:c r="C13" s="37" t="str">
        <x:f>IF(I13*1024&gt;='新集群汇总'!$B$14,"超大表",IF(I13*1024&gt;='新集群汇总'!$B$15,"大表",IF(I13*1024&gt;='新集群汇总'!$B$16,"中表","小表")))</x:f>
        <x:v>超大表</x:v>
      </x:c>
      <x:c r="D13" s="37" t="str">
        <x:f>IF(E13&gt;='新集群汇总'!$H$14,"超高行数",IF(E13&gt;='新集群汇总'!$H$15,"高行数",IF(E13&gt;='新集群汇总'!$H$16,"中行数","低行数")))</x:f>
        <x:v>高行数</x:v>
      </x:c>
      <x:c r="E13" s="43" t="n">
        <x:v>2121525178</x:v>
      </x:c>
      <x:c r="F13" s="46" t="n">
        <x:f>E13/100000000</x:f>
        <x:v>21.21525178</x:v>
      </x:c>
      <x:c r="G13" s="43" t="n">
        <x:v>25797997256674</x:v>
      </x:c>
      <x:c r="H13" s="43" t="n">
        <x:v>1551181489312</x:v>
      </x:c>
      <x:c r="I13" s="49" t="n">
        <x:f>H13/1099511627776</x:f>
        <x:v>1.410791346017504</x:v>
      </x:c>
      <x:c r="J13" s="52" t="n">
        <x:f>H13/SUM($H$5:$H$63)</x:f>
        <x:v>0.007850543356050173</x:v>
      </x:c>
      <x:c r="K13" s="52" t="n">
        <x:f>SUM($J$5:J13)</x:f>
        <x:v>0.9652207500699116</x:v>
      </x:c>
      <x:c r="L13" s="49" t="n">
        <x:f>G13/1099511627776</x:f>
        <x:v>23.46314182129754</x:v>
      </x:c>
      <x:c r="M13" s="46" t="n">
        <x:v>12160.12</x:v>
      </x:c>
      <x:c r="N13" s="46" t="n">
        <x:v>731.16</x:v>
      </x:c>
      <x:c r="O13" s="46" t="n">
        <x:v>16.63</x:v>
      </x:c>
      <x:c r="P13" s="34" t="str">
        <x:v>1.41 TiB</x:v>
      </x:c>
    </x:row>
    <x:row r="14">
      <x:c r="A14" s="37" t="n">
        <x:f>ROW()-4</x:f>
        <x:v>10</x:v>
      </x:c>
      <x:c r="B14" s="34" t="str">
        <x:v>icmp_log_local</x:v>
      </x:c>
      <x:c r="C14" s="37" t="str">
        <x:f>IF(I14*1024&gt;='新集群汇总'!$B$14,"超大表",IF(I14*1024&gt;='新集群汇总'!$B$15,"大表",IF(I14*1024&gt;='新集群汇总'!$B$16,"中表","小表")))</x:f>
        <x:v>超大表</x:v>
      </x:c>
      <x:c r="D14" s="37" t="str">
        <x:f>IF(E14&gt;='新集群汇总'!$H$14,"超高行数",IF(E14&gt;='新集群汇总'!$H$15,"高行数",IF(E14&gt;='新集群汇总'!$H$16,"中行数","低行数")))</x:f>
        <x:v>超高行数</x:v>
      </x:c>
      <x:c r="E14" s="43" t="n">
        <x:v>45024769138</x:v>
      </x:c>
      <x:c r="F14" s="46" t="n">
        <x:f>E14/100000000</x:f>
        <x:v>450.24769138</x:v>
      </x:c>
      <x:c r="G14" s="43" t="n">
        <x:v>40913874593441</x:v>
      </x:c>
      <x:c r="H14" s="43" t="n">
        <x:v>1207939737663</x:v>
      </x:c>
      <x:c r="I14" s="49" t="n">
        <x:f>H14/1099511627776</x:f>
        <x:v>1.0986147914654794</x:v>
      </x:c>
      <x:c r="J14" s="52" t="n">
        <x:f>H14/SUM($H$5:$H$63)</x:f>
        <x:v>0.006113393788772756</x:v>
      </x:c>
      <x:c r="K14" s="52" t="n">
        <x:f>SUM($J$5:J14)</x:f>
        <x:v>0.9713341438586843</x:v>
      </x:c>
      <x:c r="L14" s="49" t="n">
        <x:f>G14/1099511627776</x:f>
        <x:v>37.21095217173661</x:v>
      </x:c>
      <x:c r="M14" s="46" t="n">
        <x:v>908.7</x:v>
      </x:c>
      <x:c r="N14" s="46" t="n">
        <x:v>26.83</x:v>
      </x:c>
      <x:c r="O14" s="46" t="n">
        <x:v>33.87</x:v>
      </x:c>
      <x:c r="P14" s="34" t="str">
        <x:v>1.10 TiB</x:v>
      </x:c>
    </x:row>
    <x:row r="15">
      <x:c r="A15" s="37" t="n">
        <x:f>ROW()-4</x:f>
        <x:v>11</x:v>
      </x:c>
      <x:c r="B15" s="34" t="str">
        <x:v>endpoint_telemetry_behavior_log_local</x:v>
      </x:c>
      <x:c r="C15" s="37" t="str">
        <x:f>IF(I15*1024&gt;='新集群汇总'!$B$14,"超大表",IF(I15*1024&gt;='新集群汇总'!$B$15,"大表",IF(I15*1024&gt;='新集群汇总'!$B$16,"中表","小表")))</x:f>
        <x:v>超大表</x:v>
      </x:c>
      <x:c r="D15" s="37" t="str">
        <x:f>IF(E15&gt;='新集群汇总'!$H$14,"超高行数",IF(E15&gt;='新集群汇总'!$H$15,"高行数",IF(E15&gt;='新集群汇总'!$H$16,"中行数","低行数")))</x:f>
        <x:v>高行数</x:v>
      </x:c>
      <x:c r="E15" s="43" t="n">
        <x:v>3176749656</x:v>
      </x:c>
      <x:c r="F15" s="46" t="n">
        <x:f>E15/100000000</x:f>
        <x:v>31.76749656</x:v>
      </x:c>
      <x:c r="G15" s="43" t="n">
        <x:v>15724945518746</x:v>
      </x:c>
      <x:c r="H15" s="43" t="n">
        <x:v>1123977010895</x:v>
      </x:c>
      <x:c r="I15" s="49" t="n">
        <x:f>H15/1099511627776</x:f>
        <x:v>1.0222511363235753</x:v>
      </x:c>
      <x:c r="J15" s="52" t="n">
        <x:f>H15/SUM($H$5:$H$63)</x:f>
        <x:v>0.00568845767953854</x:v>
      </x:c>
      <x:c r="K15" s="52" t="n">
        <x:f>SUM($J$5:J15)</x:f>
        <x:v>0.9770226015382228</x:v>
      </x:c>
      <x:c r="L15" s="49" t="n">
        <x:f>G15/1099511627776</x:f>
        <x:v>14.301754634967438</x:v>
      </x:c>
      <x:c r="M15" s="46" t="n">
        <x:v>4950.01</x:v>
      </x:c>
      <x:c r="N15" s="46" t="n">
        <x:v>353.81</x:v>
      </x:c>
      <x:c r="O15" s="46" t="n">
        <x:v>13.99</x:v>
      </x:c>
      <x:c r="P15" s="34" t="str">
        <x:v>1.02 TiB</x:v>
      </x:c>
    </x:row>
    <x:row r="16">
      <x:c r="A16" s="37" t="n">
        <x:f>ROW()-4</x:f>
        <x:v>12</x:v>
      </x:c>
      <x:c r="B16" s="34" t="str">
        <x:v>asset_log_local</x:v>
      </x:c>
      <x:c r="C16" s="37" t="str">
        <x:f>IF(I16*1024&gt;='新集群汇总'!$B$14,"超大表",IF(I16*1024&gt;='新集群汇总'!$B$15,"大表",IF(I16*1024&gt;='新集群汇总'!$B$16,"中表","小表")))</x:f>
        <x:v>大表</x:v>
      </x:c>
      <x:c r="D16" s="37" t="str">
        <x:f>IF(E16&gt;='新集群汇总'!$H$14,"超高行数",IF(E16&gt;='新集群汇总'!$H$15,"高行数",IF(E16&gt;='新集群汇总'!$H$16,"中行数","低行数")))</x:f>
        <x:v>高行数</x:v>
      </x:c>
      <x:c r="E16" s="43" t="n">
        <x:v>2705437622</x:v>
      </x:c>
      <x:c r="F16" s="46" t="n">
        <x:f>E16/100000000</x:f>
        <x:v>27.05437622</x:v>
      </x:c>
      <x:c r="G16" s="43" t="n">
        <x:v>15598877720913</x:v>
      </x:c>
      <x:c r="H16" s="43" t="n">
        <x:v>859133485173</x:v>
      </x:c>
      <x:c r="I16" s="49" t="n">
        <x:f>H16/1099511627776</x:f>
        <x:v>0.7813773528805541</x:v>
      </x:c>
      <x:c r="J16" s="52" t="n">
        <x:f>H16/SUM($H$5:$H$63)</x:f>
        <x:v>0.004348082233096145</x:v>
      </x:c>
      <x:c r="K16" s="52" t="n">
        <x:f>SUM($J$5:J16)</x:f>
        <x:v>0.981370683771319</x:v>
      </x:c>
      <x:c r="L16" s="49" t="n">
        <x:f>G16/1099511627776</x:f>
        <x:v>14.187096640774143</x:v>
      </x:c>
      <x:c r="M16" s="46" t="n">
        <x:v>5765.75</x:v>
      </x:c>
      <x:c r="N16" s="46" t="n">
        <x:v>317.56</x:v>
      </x:c>
      <x:c r="O16" s="46" t="n">
        <x:v>18.16</x:v>
      </x:c>
      <x:c r="P16" s="34" t="str">
        <x:v>800.13 GiB</x:v>
      </x:c>
    </x:row>
    <x:row r="17">
      <x:c r="A17" s="37" t="n">
        <x:f>ROW()-4</x:f>
        <x:v>13</x:v>
      </x:c>
      <x:c r="B17" s="34" t="str">
        <x:v>endpoint_behavior_log_local</x:v>
      </x:c>
      <x:c r="C17" s="37" t="str">
        <x:f>IF(I17*1024&gt;='新集群汇总'!$B$14,"超大表",IF(I17*1024&gt;='新集群汇总'!$B$15,"大表",IF(I17*1024&gt;='新集群汇总'!$B$16,"中表","小表")))</x:f>
        <x:v>大表</x:v>
      </x:c>
      <x:c r="D17" s="37" t="str">
        <x:f>IF(E17&gt;='新集群汇总'!$H$14,"超高行数",IF(E17&gt;='新集群汇总'!$H$15,"高行数",IF(E17&gt;='新集群汇总'!$H$16,"中行数","低行数")))</x:f>
        <x:v>高行数</x:v>
      </x:c>
      <x:c r="E17" s="43" t="n">
        <x:v>6802774502</x:v>
      </x:c>
      <x:c r="F17" s="46" t="n">
        <x:f>E17/100000000</x:f>
        <x:v>68.02774502</x:v>
      </x:c>
      <x:c r="G17" s="43" t="n">
        <x:v>13901565563798</x:v>
      </x:c>
      <x:c r="H17" s="43" t="n">
        <x:v>622699569116</x:v>
      </x:c>
      <x:c r="I17" s="49" t="n">
        <x:f>H17/1099511627776</x:f>
        <x:v>0.5663419589072873</x:v>
      </x:c>
      <x:c r="J17" s="52" t="n">
        <x:f>H17/SUM($H$5:$H$63)</x:f>
        <x:v>0.003151488074620555</x:v>
      </x:c>
      <x:c r="K17" s="52" t="n">
        <x:f>SUM($J$5:J17)</x:f>
        <x:v>0.9845221718459395</x:v>
      </x:c>
      <x:c r="L17" s="49" t="n">
        <x:f>G17/1099511627776</x:f>
        <x:v>12.643400226623271</x:v>
      </x:c>
      <x:c r="M17" s="46" t="n">
        <x:v>2043.51</x:v>
      </x:c>
      <x:c r="N17" s="46" t="n">
        <x:v>91.54</x:v>
      </x:c>
      <x:c r="O17" s="46" t="n">
        <x:v>22.32</x:v>
      </x:c>
      <x:c r="P17" s="34" t="str">
        <x:v>579.93 GiB</x:v>
      </x:c>
    </x:row>
    <x:row r="18">
      <x:c r="A18" s="37" t="n">
        <x:f>ROW()-4</x:f>
        <x:v>14</x:v>
      </x:c>
      <x:c r="B18" s="34" t="str">
        <x:v>smb_log_local</x:v>
      </x:c>
      <x:c r="C18" s="37" t="str">
        <x:f>IF(I18*1024&gt;='新集群汇总'!$B$14,"超大表",IF(I18*1024&gt;='新集群汇总'!$B$15,"大表",IF(I18*1024&gt;='新集群汇总'!$B$16,"中表","小表")))</x:f>
        <x:v>大表</x:v>
      </x:c>
      <x:c r="D18" s="37" t="str">
        <x:f>IF(E18&gt;='新集群汇总'!$H$14,"超高行数",IF(E18&gt;='新集群汇总'!$H$15,"高行数",IF(E18&gt;='新集群汇总'!$H$16,"中行数","低行数")))</x:f>
        <x:v>超高行数</x:v>
      </x:c>
      <x:c r="E18" s="43" t="n">
        <x:v>35026943219</x:v>
      </x:c>
      <x:c r="F18" s="46" t="n">
        <x:f>E18/100000000</x:f>
        <x:v>350.26943219</x:v>
      </x:c>
      <x:c r="G18" s="43" t="n">
        <x:v>25021643656180</x:v>
      </x:c>
      <x:c r="H18" s="43" t="n">
        <x:v>606764689548</x:v>
      </x:c>
      <x:c r="I18" s="49" t="n">
        <x:f>H18/1099511627776</x:f>
        <x:v>0.5518492703668016</x:v>
      </x:c>
      <x:c r="J18" s="52" t="n">
        <x:f>H18/SUM($H$5:$H$63)</x:f>
        <x:v>0.003070841506966175</x:v>
      </x:c>
      <x:c r="K18" s="52" t="n">
        <x:f>SUM($J$5:J18)</x:f>
        <x:v>0.9875930133529056</x:v>
      </x:c>
      <x:c r="L18" s="49" t="n">
        <x:f>G18/1099511627776</x:f>
        <x:v>22.75705233494591</x:v>
      </x:c>
      <x:c r="M18" s="46" t="n">
        <x:v>714.35</x:v>
      </x:c>
      <x:c r="N18" s="46" t="n">
        <x:v>17.32</x:v>
      </x:c>
      <x:c r="O18" s="46" t="n">
        <x:v>41.24</x:v>
      </x:c>
      <x:c r="P18" s="34" t="str">
        <x:v>565.09 GiB</x:v>
      </x:c>
    </x:row>
    <x:row r="19">
      <x:c r="A19" s="37" t="n">
        <x:f>ROW()-4</x:f>
        <x:v>15</x:v>
      </x:c>
      <x:c r="B19" s="34" t="str">
        <x:v>http_login_log_local</x:v>
      </x:c>
      <x:c r="C19" s="37" t="str">
        <x:f>IF(I19*1024&gt;='新集群汇总'!$B$14,"超大表",IF(I19*1024&gt;='新集群汇总'!$B$15,"大表",IF(I19*1024&gt;='新集群汇总'!$B$16,"中表","小表")))</x:f>
        <x:v>大表</x:v>
      </x:c>
      <x:c r="D19" s="37" t="str">
        <x:f>IF(E19&gt;='新集群汇总'!$H$14,"超高行数",IF(E19&gt;='新集群汇总'!$H$15,"高行数",IF(E19&gt;='新集群汇总'!$H$16,"中行数","低行数")))</x:f>
        <x:v>中行数</x:v>
      </x:c>
      <x:c r="E19" s="43" t="n">
        <x:v>909538452</x:v>
      </x:c>
      <x:c r="F19" s="46" t="n">
        <x:f>E19/100000000</x:f>
        <x:v>9.09538452</x:v>
      </x:c>
      <x:c r="G19" s="43" t="n">
        <x:v>4800499844087</x:v>
      </x:c>
      <x:c r="H19" s="43" t="n">
        <x:v>484495136129</x:v>
      </x:c>
      <x:c r="I19" s="49" t="n">
        <x:f>H19/1099511627776</x:f>
        <x:v>0.4406457593440791</x:v>
      </x:c>
      <x:c r="J19" s="52" t="n">
        <x:f>H19/SUM($H$5:$H$63)</x:f>
        <x:v>0.0024520342063024136</x:v>
      </x:c>
      <x:c r="K19" s="52" t="n">
        <x:f>SUM($J$5:J19)</x:f>
        <x:v>0.9900450475592081</x:v>
      </x:c>
      <x:c r="L19" s="49" t="n">
        <x:f>G19/1099511627776</x:f>
        <x:v>4.366029174058895</x:v>
      </x:c>
      <x:c r="M19" s="46" t="n">
        <x:v>5277.95</x:v>
      </x:c>
      <x:c r="N19" s="46" t="n">
        <x:v>532.68</x:v>
      </x:c>
      <x:c r="O19" s="46" t="n">
        <x:v>9.91</x:v>
      </x:c>
      <x:c r="P19" s="34" t="str">
        <x:v>451.22 GiB</x:v>
      </x:c>
    </x:row>
    <x:row r="20">
      <x:c r="A20" s="37" t="n">
        <x:f>ROW()-4</x:f>
        <x:v>16</x:v>
      </x:c>
      <x:c r="B20" s="34" t="str">
        <x:v>sip_log_local</x:v>
      </x:c>
      <x:c r="C20" s="37" t="str">
        <x:f>IF(I20*1024&gt;='新集群汇总'!$B$14,"超大表",IF(I20*1024&gt;='新集群汇总'!$B$15,"大表",IF(I20*1024&gt;='新集群汇总'!$B$16,"中表","小表")))</x:f>
        <x:v>大表</x:v>
      </x:c>
      <x:c r="D20" s="37" t="str">
        <x:f>IF(E20&gt;='新集群汇总'!$H$14,"超高行数",IF(E20&gt;='新集群汇总'!$H$15,"高行数",IF(E20&gt;='新集群汇总'!$H$16,"中行数","低行数")))</x:f>
        <x:v>高行数</x:v>
      </x:c>
      <x:c r="E20" s="43" t="n">
        <x:v>5993224140</x:v>
      </x:c>
      <x:c r="F20" s="46" t="n">
        <x:f>E20/100000000</x:f>
        <x:v>59.9322414</x:v>
      </x:c>
      <x:c r="G20" s="43" t="n">
        <x:v>5795599974595</x:v>
      </x:c>
      <x:c r="H20" s="43" t="n">
        <x:v>379238388334</x:v>
      </x:c>
      <x:c r="I20" s="49" t="n">
        <x:f>H20/1099511627776</x:f>
        <x:v>0.3449153048986773</x:v>
      </x:c>
      <x:c r="J20" s="52" t="n">
        <x:f>H20/SUM($H$5:$H$63)</x:f>
        <x:v>0.00191932886667901</x:v>
      </x:c>
      <x:c r="K20" s="52" t="n">
        <x:f>SUM($J$5:J20)</x:f>
        <x:v>0.9919643764258871</x:v>
      </x:c>
      <x:c r="L20" s="49" t="n">
        <x:f>G20/1099511627776</x:f>
        <x:v>5.27106747048947</x:v>
      </x:c>
      <x:c r="M20" s="46" t="n">
        <x:v>967.03</x:v>
      </x:c>
      <x:c r="N20" s="46" t="n">
        <x:v>63.28</x:v>
      </x:c>
      <x:c r="O20" s="46" t="n">
        <x:v>15.28</x:v>
      </x:c>
      <x:c r="P20" s="34" t="str">
        <x:v>353.19 GiB</x:v>
      </x:c>
    </x:row>
    <x:row r="21">
      <x:c r="A21" s="37" t="n">
        <x:f>ROW()-4</x:f>
        <x:v>17</x:v>
      </x:c>
      <x:c r="B21" s="34" t="str">
        <x:v>snmp_log_local</x:v>
      </x:c>
      <x:c r="C21" s="37" t="str">
        <x:f>IF(I21*1024&gt;='新集群汇总'!$B$14,"超大表",IF(I21*1024&gt;='新集群汇总'!$B$15,"大表",IF(I21*1024&gt;='新集群汇总'!$B$16,"中表","小表")))</x:f>
        <x:v>大表</x:v>
      </x:c>
      <x:c r="D21" s="37" t="str">
        <x:f>IF(E21&gt;='新集群汇总'!$H$14,"超高行数",IF(E21&gt;='新集群汇总'!$H$15,"高行数",IF(E21&gt;='新集群汇总'!$H$16,"中行数","低行数")))</x:f>
        <x:v>高行数</x:v>
      </x:c>
      <x:c r="E21" s="43" t="n">
        <x:v>6563920146</x:v>
      </x:c>
      <x:c r="F21" s="46" t="n">
        <x:f>E21/100000000</x:f>
        <x:v>65.63920146</x:v>
      </x:c>
      <x:c r="G21" s="43" t="n">
        <x:v>6650320858436</x:v>
      </x:c>
      <x:c r="H21" s="43" t="n">
        <x:v>345085532179</x:v>
      </x:c>
      <x:c r="I21" s="49" t="n">
        <x:f>H21/1099511627776</x:f>
        <x:v>0.31385346317529184</x:v>
      </x:c>
      <x:c r="J21" s="52" t="n">
        <x:f>H21/SUM($H$5:$H$63)</x:f>
        <x:v>0.0017464809569887698</x:v>
      </x:c>
      <x:c r="K21" s="52" t="n">
        <x:f>SUM($J$5:J21)</x:f>
        <x:v>0.9937108573828759</x:v>
      </x:c>
      <x:c r="L21" s="49" t="n">
        <x:f>G21/1099511627776</x:f>
        <x:v>6.048431585837534</x:v>
      </x:c>
      <x:c r="M21" s="46" t="n">
        <x:v>1013.16</x:v>
      </x:c>
      <x:c r="N21" s="46" t="n">
        <x:v>52.57</x:v>
      </x:c>
      <x:c r="O21" s="46" t="n">
        <x:v>19.27</x:v>
      </x:c>
      <x:c r="P21" s="34" t="str">
        <x:v>321.39 GiB</x:v>
      </x:c>
    </x:row>
    <x:row r="22">
      <x:c r="A22" s="37" t="n">
        <x:f>ROW()-4</x:f>
        <x:v>18</x:v>
      </x:c>
      <x:c r="B22" s="34" t="str">
        <x:v>dhcp_log_local</x:v>
      </x:c>
      <x:c r="C22" s="37" t="str">
        <x:f>IF(I22*1024&gt;='新集群汇总'!$B$14,"超大表",IF(I22*1024&gt;='新集群汇总'!$B$15,"大表",IF(I22*1024&gt;='新集群汇总'!$B$16,"中表","小表")))</x:f>
        <x:v>大表</x:v>
      </x:c>
      <x:c r="D22" s="37" t="str">
        <x:f>IF(E22&gt;='新集群汇总'!$H$14,"超高行数",IF(E22&gt;='新集群汇总'!$H$15,"高行数",IF(E22&gt;='新集群汇总'!$H$16,"中行数","低行数")))</x:f>
        <x:v>超高行数</x:v>
      </x:c>
      <x:c r="E22" s="43" t="n">
        <x:v>10693387799</x:v>
      </x:c>
      <x:c r="F22" s="46" t="n">
        <x:f>E22/100000000</x:f>
        <x:v>106.93387799</x:v>
      </x:c>
      <x:c r="G22" s="43" t="n">
        <x:v>7890678451752</x:v>
      </x:c>
      <x:c r="H22" s="43" t="n">
        <x:v>317817311730</x:v>
      </x:c>
      <x:c r="I22" s="49" t="n">
        <x:f>H22/1099511627776</x:f>
        <x:v>0.2890531611501501</x:v>
      </x:c>
      <x:c r="J22" s="52" t="n">
        <x:f>H22/SUM($H$5:$H$63)</x:f>
        <x:v>0.0016084762500268813</x:v>
      </x:c>
      <x:c r="K22" s="52" t="n">
        <x:f>SUM($J$5:J22)</x:f>
        <x:v>0.9953193336329028</x:v>
      </x:c>
      <x:c r="L22" s="49" t="n">
        <x:f>G22/1099511627776</x:f>
        <x:v>7.176530245262256</x:v>
      </x:c>
      <x:c r="M22" s="46" t="n">
        <x:v>737.9</x:v>
      </x:c>
      <x:c r="N22" s="46" t="n">
        <x:v>29.72</x:v>
      </x:c>
      <x:c r="O22" s="46" t="n">
        <x:v>24.83</x:v>
      </x:c>
      <x:c r="P22" s="34" t="str">
        <x:v>295.99 GiB</x:v>
      </x:c>
    </x:row>
    <x:row r="23">
      <x:c r="A23" s="37" t="n">
        <x:f>ROW()-4</x:f>
        <x:v>19</x:v>
      </x:c>
      <x:c r="B23" s="34" t="str">
        <x:v>sql_server_log_local</x:v>
      </x:c>
      <x:c r="C23" s="37" t="str">
        <x:f>IF(I23*1024&gt;='新集群汇总'!$B$14,"超大表",IF(I23*1024&gt;='新集群汇总'!$B$15,"大表",IF(I23*1024&gt;='新集群汇总'!$B$16,"中表","小表")))</x:f>
        <x:v>大表</x:v>
      </x:c>
      <x:c r="D23" s="37" t="str">
        <x:f>IF(E23&gt;='新集群汇总'!$H$14,"超高行数",IF(E23&gt;='新集群汇总'!$H$15,"高行数",IF(E23&gt;='新集群汇总'!$H$16,"中行数","低行数")))</x:f>
        <x:v>高行数</x:v>
      </x:c>
      <x:c r="E23" s="43" t="n">
        <x:v>6124442857</x:v>
      </x:c>
      <x:c r="F23" s="46" t="n">
        <x:f>E23/100000000</x:f>
        <x:v>61.24442857</x:v>
      </x:c>
      <x:c r="G23" s="43" t="n">
        <x:v>7915310013238</x:v>
      </x:c>
      <x:c r="H23" s="43" t="n">
        <x:v>193455265318</x:v>
      </x:c>
      <x:c r="I23" s="49" t="n">
        <x:f>H23/1099511627776</x:f>
        <x:v>0.17594653883679712</x:v>
      </x:c>
      <x:c r="J23" s="52" t="n">
        <x:f>H23/SUM($H$5:$H$63)</x:f>
        <x:v>0.000979078823657672</x:v>
      </x:c>
      <x:c r="K23" s="52" t="n">
        <x:f>SUM($J$5:J23)</x:f>
        <x:v>0.9962984124565605</x:v>
      </x:c>
      <x:c r="L23" s="49" t="n">
        <x:f>G23/1099511627776</x:f>
        <x:v>7.1989325199301675</x:v>
      </x:c>
      <x:c r="M23" s="46" t="n">
        <x:v>1292.41</x:v>
      </x:c>
      <x:c r="N23" s="46" t="n">
        <x:v>31.59</x:v>
      </x:c>
      <x:c r="O23" s="46" t="n">
        <x:v>40.92</x:v>
      </x:c>
      <x:c r="P23" s="34" t="str">
        <x:v>180.17 GiB</x:v>
      </x:c>
    </x:row>
    <x:row r="24">
      <x:c r="A24" s="37" t="n">
        <x:f>ROW()-4</x:f>
        <x:v>20</x:v>
      </x:c>
      <x:c r="B24" s="34" t="str">
        <x:v>mysql_log_local</x:v>
      </x:c>
      <x:c r="C24" s="37" t="str">
        <x:f>IF(I24*1024&gt;='新集群汇总'!$B$14,"超大表",IF(I24*1024&gt;='新集群汇总'!$B$15,"大表",IF(I24*1024&gt;='新集群汇总'!$B$16,"中表","小表")))</x:f>
        <x:v>大表</x:v>
      </x:c>
      <x:c r="D24" s="37" t="str">
        <x:f>IF(E24&gt;='新集群汇总'!$H$14,"超高行数",IF(E24&gt;='新集群汇总'!$H$15,"高行数",IF(E24&gt;='新集群汇总'!$H$16,"中行数","低行数")))</x:f>
        <x:v>高行数</x:v>
      </x:c>
      <x:c r="E24" s="43" t="n">
        <x:v>6639528278</x:v>
      </x:c>
      <x:c r="F24" s="46" t="n">
        <x:f>E24/100000000</x:f>
        <x:v>66.39528278</x:v>
      </x:c>
      <x:c r="G24" s="43" t="n">
        <x:v>10963966106408</x:v>
      </x:c>
      <x:c r="H24" s="43" t="n">
        <x:v>172267430680</x:v>
      </x:c>
      <x:c r="I24" s="49" t="n">
        <x:f>H24/1099511627776</x:f>
        <x:v>0.1566763154914952</x:v>
      </x:c>
      <x:c r="J24" s="52" t="n">
        <x:f>H24/SUM($H$5:$H$63)</x:f>
        <x:v>0.0008718470035305403</x:v>
      </x:c>
      <x:c r="K24" s="52" t="n">
        <x:f>SUM($J$5:J24)</x:f>
        <x:v>0.997170259460091</x:v>
      </x:c>
      <x:c r="L24" s="49" t="n">
        <x:f>G24/1099511627776</x:f>
        <x:v>9.971669084196037</x:v>
      </x:c>
      <x:c r="M24" s="46" t="n">
        <x:v>1651.32</x:v>
      </x:c>
      <x:c r="N24" s="46" t="n">
        <x:v>25.95</x:v>
      </x:c>
      <x:c r="O24" s="46" t="n">
        <x:v>63.65</x:v>
      </x:c>
      <x:c r="P24" s="34" t="str">
        <x:v>160.44 GiB</x:v>
      </x:c>
    </x:row>
    <x:row r="25">
      <x:c r="A25" s="37" t="n">
        <x:f>ROW()-4</x:f>
        <x:v>21</x:v>
      </x:c>
      <x:c r="B25" s="34" t="str">
        <x:v>alert_relation_log_local</x:v>
      </x:c>
      <x:c r="C25" s="37" t="str">
        <x:f>IF(I25*1024&gt;='新集群汇总'!$B$14,"超大表",IF(I25*1024&gt;='新集群汇总'!$B$15,"大表",IF(I25*1024&gt;='新集群汇总'!$B$16,"中表","小表")))</x:f>
        <x:v>大表</x:v>
      </x:c>
      <x:c r="D25" s="37" t="str">
        <x:f>IF(E25&gt;='新集群汇总'!$H$14,"超高行数",IF(E25&gt;='新集群汇总'!$H$15,"高行数",IF(E25&gt;='新集群汇总'!$H$16,"中行数","低行数")))</x:f>
        <x:v>超高行数</x:v>
      </x:c>
      <x:c r="E25" s="43" t="n">
        <x:v>19612192583</x:v>
      </x:c>
      <x:c r="F25" s="46" t="n">
        <x:f>E25/100000000</x:f>
        <x:v>196.12192583</x:v>
      </x:c>
      <x:c r="G25" s="43" t="n">
        <x:v>4253672283704</x:v>
      </x:c>
      <x:c r="H25" s="43" t="n">
        <x:v>153772937804</x:v>
      </x:c>
      <x:c r="I25" s="49" t="n">
        <x:f>H25/1099511627776</x:f>
        <x:v>0.13985567220879602</x:v>
      </x:c>
      <x:c r="J25" s="52" t="n">
        <x:f>H25/SUM($H$5:$H$63)</x:f>
        <x:v>0.000778246210089151</x:v>
      </x:c>
      <x:c r="K25" s="52" t="n">
        <x:f>SUM($J$5:J25)</x:f>
        <x:v>0.9979485056701801</x:v>
      </x:c>
      <x:c r="L25" s="49" t="n">
        <x:f>G25/1099511627776</x:f>
        <x:v>3.86869240510714</x:v>
      </x:c>
      <x:c r="M25" s="46" t="n">
        <x:v>216.89</x:v>
      </x:c>
      <x:c r="N25" s="46" t="n">
        <x:v>7.84</x:v>
      </x:c>
      <x:c r="O25" s="46" t="n">
        <x:v>27.66</x:v>
      </x:c>
      <x:c r="P25" s="34" t="str">
        <x:v>143.21 GiB</x:v>
      </x:c>
    </x:row>
    <x:row r="26">
      <x:c r="A26" s="37" t="n">
        <x:f>ROW()-4</x:f>
        <x:v>22</x:v>
      </x:c>
      <x:c r="B26" s="34" t="str">
        <x:v>rdp_log_local</x:v>
      </x:c>
      <x:c r="C26" s="37" t="str">
        <x:f>IF(I26*1024&gt;='新集群汇总'!$B$14,"超大表",IF(I26*1024&gt;='新集群汇总'!$B$15,"大表",IF(I26*1024&gt;='新集群汇总'!$B$16,"中表","小表")))</x:f>
        <x:v>大表</x:v>
      </x:c>
      <x:c r="D26" s="37" t="str">
        <x:f>IF(E26&gt;='新集群汇总'!$H$14,"超高行数",IF(E26&gt;='新集群汇总'!$H$15,"高行数",IF(E26&gt;='新集群汇总'!$H$16,"中行数","低行数")))</x:f>
        <x:v>高行数</x:v>
      </x:c>
      <x:c r="E26" s="43" t="n">
        <x:v>4886724951</x:v>
      </x:c>
      <x:c r="F26" s="46" t="n">
        <x:f>E26/100000000</x:f>
        <x:v>48.86724951</x:v>
      </x:c>
      <x:c r="G26" s="43" t="n">
        <x:v>3494311994966</x:v>
      </x:c>
      <x:c r="H26" s="43" t="n">
        <x:v>137724474161</x:v>
      </x:c>
      <x:c r="I26" s="49" t="n">
        <x:f>H26/1099511627776</x:f>
        <x:v>0.12525967955389206</x:v>
      </x:c>
      <x:c r="J26" s="52" t="n">
        <x:f>H26/SUM($H$5:$H$63)</x:f>
        <x:v>0.0006970247924178721</x:v>
      </x:c>
      <x:c r="K26" s="52" t="n">
        <x:f>SUM($J$5:J26)</x:f>
        <x:v>0.998645530462598</x:v>
      </x:c>
      <x:c r="L26" s="49" t="n">
        <x:f>G26/1099511627776</x:f>
        <x:v>3.178058245763168</x:v>
      </x:c>
      <x:c r="M26" s="46" t="n">
        <x:v>715.06</x:v>
      </x:c>
      <x:c r="N26" s="46" t="n">
        <x:v>28.18</x:v>
      </x:c>
      <x:c r="O26" s="46" t="n">
        <x:v>25.37</x:v>
      </x:c>
      <x:c r="P26" s="34" t="str">
        <x:v>128.27 GiB</x:v>
      </x:c>
    </x:row>
    <x:row r="27">
      <x:c r="A27" s="37" t="n">
        <x:f>ROW()-4</x:f>
        <x:v>23</x:v>
      </x:c>
      <x:c r="B27" s="34" t="str">
        <x:v>redis_log_local</x:v>
      </x:c>
      <x:c r="C27" s="37" t="str">
        <x:f>IF(I27*1024&gt;='新集群汇总'!$B$14,"超大表",IF(I27*1024&gt;='新集群汇总'!$B$15,"大表",IF(I27*1024&gt;='新集群汇总'!$B$16,"中表","小表")))</x:f>
        <x:v>大表</x:v>
      </x:c>
      <x:c r="D27" s="37" t="str">
        <x:f>IF(E27&gt;='新集群汇总'!$H$14,"超高行数",IF(E27&gt;='新集群汇总'!$H$15,"高行数",IF(E27&gt;='新集群汇总'!$H$16,"中行数","低行数")))</x:f>
        <x:v>高行数</x:v>
      </x:c>
      <x:c r="E27" s="43" t="n">
        <x:v>4634751367</x:v>
      </x:c>
      <x:c r="F27" s="46" t="n">
        <x:f>E27/100000000</x:f>
        <x:v>46.34751367</x:v>
      </x:c>
      <x:c r="G27" s="43" t="n">
        <x:v>3735455256258</x:v>
      </x:c>
      <x:c r="H27" s="43" t="n">
        <x:v>113579289892</x:v>
      </x:c>
      <x:c r="I27" s="49" t="n">
        <x:f>H27/1099511627776</x:f>
        <x:v>0.1032997623879055</x:v>
      </x:c>
      <x:c r="J27" s="52" t="n">
        <x:f>H27/SUM($H$5:$H$63)</x:f>
        <x:v>0.0005748257994246808</x:v>
      </x:c>
      <x:c r="K27" s="52" t="n">
        <x:f>SUM($J$5:J27)</x:f>
        <x:v>0.9992203562620227</x:v>
      </x:c>
      <x:c r="L27" s="49" t="n">
        <x:f>G27/1099511627776</x:f>
        <x:v>3.397376764276487</x:v>
      </x:c>
      <x:c r="M27" s="46" t="n">
        <x:v>805.97</x:v>
      </x:c>
      <x:c r="N27" s="46" t="n">
        <x:v>24.51</x:v>
      </x:c>
      <x:c r="O27" s="46" t="n">
        <x:v>32.89</x:v>
      </x:c>
      <x:c r="P27" s="34" t="str">
        <x:v>105.78 GiB</x:v>
      </x:c>
    </x:row>
    <x:row r="28">
      <x:c r="A28" s="37" t="n">
        <x:f>ROW()-4</x:f>
        <x:v>24</x:v>
      </x:c>
      <x:c r="B28" s="34" t="str">
        <x:v>oracle_log_local</x:v>
      </x:c>
      <x:c r="C28" s="37" t="str">
        <x:f>IF(I28*1024&gt;='新集群汇总'!$B$14,"超大表",IF(I28*1024&gt;='新集群汇总'!$B$15,"大表",IF(I28*1024&gt;='新集群汇总'!$B$16,"中表","小表")))</x:f>
        <x:v>中表</x:v>
      </x:c>
      <x:c r="D28" s="37" t="str">
        <x:f>IF(E28&gt;='新集群汇总'!$H$14,"超高行数",IF(E28&gt;='新集群汇总'!$H$15,"高行数",IF(E28&gt;='新集群汇总'!$H$16,"中行数","低行数")))</x:f>
        <x:v>高行数</x:v>
      </x:c>
      <x:c r="E28" s="43" t="n">
        <x:v>3063032977</x:v>
      </x:c>
      <x:c r="F28" s="46" t="n">
        <x:f>E28/100000000</x:f>
        <x:v>30.63032977</x:v>
      </x:c>
      <x:c r="G28" s="43" t="n">
        <x:v>3334738939990</x:v>
      </x:c>
      <x:c r="H28" s="43" t="n">
        <x:v>78403611244</x:v>
      </x:c>
      <x:c r="I28" s="49" t="n">
        <x:f>H28/1099511627776</x:f>
        <x:v>0.07130766902628238</x:v>
      </x:c>
      <x:c r="J28" s="52" t="n">
        <x:f>H28/SUM($H$5:$H$63)</x:f>
        <x:v>0.00039680137597240426</x:v>
      </x:c>
      <x:c r="K28" s="52" t="n">
        <x:f>SUM($J$5:J28)</x:f>
        <x:v>0.9996171576379951</x:v>
      </x:c>
      <x:c r="L28" s="49" t="n">
        <x:f>G28/1099511627776</x:f>
        <x:v>3.032927397716776</x:v>
      </x:c>
      <x:c r="M28" s="46" t="n">
        <x:v>1088.7</x:v>
      </x:c>
      <x:c r="N28" s="46" t="n">
        <x:v>25.6</x:v>
      </x:c>
      <x:c r="O28" s="46" t="n">
        <x:v>42.53</x:v>
      </x:c>
      <x:c r="P28" s="34" t="str">
        <x:v>73.02 GiB</x:v>
      </x:c>
    </x:row>
    <x:row r="29">
      <x:c r="A29" s="37" t="n">
        <x:f>ROW()-4</x:f>
        <x:v>25</x:v>
      </x:c>
      <x:c r="B29" s="34" t="str">
        <x:v>ftp_log_local</x:v>
      </x:c>
      <x:c r="C29" s="37" t="str">
        <x:f>IF(I29*1024&gt;='新集群汇总'!$B$14,"超大表",IF(I29*1024&gt;='新集群汇总'!$B$15,"大表",IF(I29*1024&gt;='新集群汇总'!$B$16,"中表","小表")))</x:f>
        <x:v>中表</x:v>
      </x:c>
      <x:c r="D29" s="37" t="str">
        <x:f>IF(E29&gt;='新集群汇总'!$H$14,"超高行数",IF(E29&gt;='新集群汇总'!$H$15,"高行数",IF(E29&gt;='新集群汇总'!$H$16,"中行数","低行数")))</x:f>
        <x:v>高行数</x:v>
      </x:c>
      <x:c r="E29" s="43" t="n">
        <x:v>1472335385</x:v>
      </x:c>
      <x:c r="F29" s="46" t="n">
        <x:f>E29/100000000</x:f>
        <x:v>14.72335385</x:v>
      </x:c>
      <x:c r="G29" s="43" t="n">
        <x:v>1009907554445</x:v>
      </x:c>
      <x:c r="H29" s="43" t="n">
        <x:v>21162168979</x:v>
      </x:c>
      <x:c r="I29" s="49" t="n">
        <x:f>H29/1099511627776</x:f>
        <x:v>0.019246880564423918</x:v>
      </x:c>
      <x:c r="J29" s="52" t="n">
        <x:f>H29/SUM($H$5:$H$63)</x:f>
        <x:v>0.00010710192599796023</x:v>
      </x:c>
      <x:c r="K29" s="52" t="n">
        <x:f>SUM($J$5:J29)</x:f>
        <x:v>0.999724259563993</x:v>
      </x:c>
      <x:c r="L29" s="49" t="n">
        <x:f>G29/1099511627776</x:f>
        <x:v>0.9185055700481826</x:v>
      </x:c>
      <x:c r="M29" s="46" t="n">
        <x:v>685.92</x:v>
      </x:c>
      <x:c r="N29" s="46" t="n">
        <x:v>14.37</x:v>
      </x:c>
      <x:c r="O29" s="46" t="n">
        <x:v>47.72</x:v>
      </x:c>
      <x:c r="P29" s="34" t="str">
        <x:v>19.71 GiB</x:v>
      </x:c>
    </x:row>
    <x:row r="30">
      <x:c r="A30" s="37" t="n">
        <x:f>ROW()-4</x:f>
        <x:v>26</x:v>
      </x:c>
      <x:c r="B30" s="34" t="str">
        <x:v>dce_rpc_log_local</x:v>
      </x:c>
      <x:c r="C30" s="37" t="str">
        <x:f>IF(I30*1024&gt;='新集群汇总'!$B$14,"超大表",IF(I30*1024&gt;='新集群汇总'!$B$15,"大表",IF(I30*1024&gt;='新集群汇总'!$B$16,"中表","小表")))</x:f>
        <x:v>中表</x:v>
      </x:c>
      <x:c r="D30" s="37" t="str">
        <x:f>IF(E30&gt;='新集群汇总'!$H$14,"超高行数",IF(E30&gt;='新集群汇总'!$H$15,"高行数",IF(E30&gt;='新集群汇总'!$H$16,"中行数","低行数")))</x:f>
        <x:v>中行数</x:v>
      </x:c>
      <x:c r="E30" s="43" t="n">
        <x:v>601103520</x:v>
      </x:c>
      <x:c r="F30" s="46" t="n">
        <x:f>E30/100000000</x:f>
        <x:v>6.0110352</x:v>
      </x:c>
      <x:c r="G30" s="43" t="n">
        <x:v>402264492121</x:v>
      </x:c>
      <x:c r="H30" s="43" t="n">
        <x:v>14315184853</x:v>
      </x:c>
      <x:c r="I30" s="49" t="n">
        <x:f>H30/1099511627776</x:f>
        <x:v>0.013019584778703575</x:v>
      </x:c>
      <x:c r="J30" s="52" t="n">
        <x:f>H30/SUM($H$5:$H$63)</x:f>
        <x:v>0.00007244927825189194</x:v>
      </x:c>
      <x:c r="K30" s="52" t="n">
        <x:f>SUM($J$5:J30)</x:f>
        <x:v>0.9997967088422449</x:v>
      </x:c>
      <x:c r="L30" s="49" t="n">
        <x:f>G30/1099511627776</x:f>
        <x:v>0.36585742429542734</x:v>
      </x:c>
      <x:c r="M30" s="46" t="n">
        <x:v>669.21</x:v>
      </x:c>
      <x:c r="N30" s="46" t="n">
        <x:v>23.81</x:v>
      </x:c>
      <x:c r="O30" s="46" t="n">
        <x:v>28.1</x:v>
      </x:c>
      <x:c r="P30" s="34" t="str">
        <x:v>13.33 GiB</x:v>
      </x:c>
    </x:row>
    <x:row r="31">
      <x:c r="A31" s="37" t="n">
        <x:f>ROW()-4</x:f>
        <x:v>27</x:v>
      </x:c>
      <x:c r="B31" s="34" t="str">
        <x:v>ssh_log_local</x:v>
      </x:c>
      <x:c r="C31" s="37" t="str">
        <x:f>IF(I31*1024&gt;='新集群汇总'!$B$14,"超大表",IF(I31*1024&gt;='新集群汇总'!$B$15,"大表",IF(I31*1024&gt;='新集群汇总'!$B$16,"中表","小表")))</x:f>
        <x:v>小表</x:v>
      </x:c>
      <x:c r="D31" s="37" t="str">
        <x:f>IF(E31&gt;='新集群汇总'!$H$14,"超高行数",IF(E31&gt;='新集群汇总'!$H$15,"高行数",IF(E31&gt;='新集群汇总'!$H$16,"中行数","低行数")))</x:f>
        <x:v>中行数</x:v>
      </x:c>
      <x:c r="E31" s="43" t="n">
        <x:v>117569669</x:v>
      </x:c>
      <x:c r="F31" s="46" t="n">
        <x:f>E31/100000000</x:f>
        <x:v>1.17569669</x:v>
      </x:c>
      <x:c r="G31" s="43" t="n">
        <x:v>149397996440</x:v>
      </x:c>
      <x:c r="H31" s="43" t="n">
        <x:v>10213287412</x:v>
      </x:c>
      <x:c r="I31" s="49" t="n">
        <x:f>H31/1099511627776</x:f>
        <x:v>0.009288930788898142</x:v>
      </x:c>
      <x:c r="J31" s="52" t="n">
        <x:f>H31/SUM($H$5:$H$63)</x:f>
        <x:v>0.00005168953870850398</x:v>
      </x:c>
      <x:c r="K31" s="52" t="n">
        <x:f>SUM($J$5:J31)</x:f>
        <x:v>0.9998483983809534</x:v>
      </x:c>
      <x:c r="L31" s="49" t="n">
        <x:f>G31/1099511627776</x:f>
        <x:v>0.1358766862176708</x:v>
      </x:c>
      <x:c r="M31" s="46" t="n">
        <x:v>1270.72</x:v>
      </x:c>
      <x:c r="N31" s="46" t="n">
        <x:v>86.87</x:v>
      </x:c>
      <x:c r="O31" s="46" t="n">
        <x:v>14.63</x:v>
      </x:c>
      <x:c r="P31" s="34" t="str">
        <x:v>9.51 GiB</x:v>
      </x:c>
    </x:row>
    <x:row r="32">
      <x:c r="A32" s="37" t="n">
        <x:f>ROW()-4</x:f>
        <x:v>28</x:v>
      </x:c>
      <x:c r="B32" s="34" t="str">
        <x:v>ntlm_log_local</x:v>
      </x:c>
      <x:c r="C32" s="37" t="str">
        <x:f>IF(I32*1024&gt;='新集群汇总'!$B$14,"超大表",IF(I32*1024&gt;='新集群汇总'!$B$15,"大表",IF(I32*1024&gt;='新集群汇总'!$B$16,"中表","小表")))</x:f>
        <x:v>小表</x:v>
      </x:c>
      <x:c r="D32" s="37" t="str">
        <x:f>IF(E32&gt;='新集群汇总'!$H$14,"超高行数",IF(E32&gt;='新集群汇总'!$H$15,"高行数",IF(E32&gt;='新集群汇总'!$H$16,"中行数","低行数")))</x:f>
        <x:v>中行数</x:v>
      </x:c>
      <x:c r="E32" s="43" t="n">
        <x:v>228955033</x:v>
      </x:c>
      <x:c r="F32" s="46" t="n">
        <x:f>E32/100000000</x:f>
        <x:v>2.28955033</x:v>
      </x:c>
      <x:c r="G32" s="43" t="n">
        <x:v>156085526712</x:v>
      </x:c>
      <x:c r="H32" s="43" t="n">
        <x:v>6251777319</x:v>
      </x:c>
      <x:c r="I32" s="49" t="n">
        <x:f>H32/1099511627776</x:f>
        <x:v>0.005685958348294662</x:v>
      </x:c>
      <x:c r="J32" s="52" t="n">
        <x:f>H32/SUM($H$5:$H$63)</x:f>
        <x:v>0.00003164030078578951</x:v>
      </x:c>
      <x:c r="K32" s="52" t="n">
        <x:f>SUM($J$5:J32)</x:f>
        <x:v>0.9998800386817392</x:v>
      </x:c>
      <x:c r="L32" s="49" t="n">
        <x:f>G32/1099511627776</x:f>
        <x:v>0.14195895956800086</x:v>
      </x:c>
      <x:c r="M32" s="46" t="n">
        <x:v>681.73</x:v>
      </x:c>
      <x:c r="N32" s="46" t="n">
        <x:v>27.31</x:v>
      </x:c>
      <x:c r="O32" s="46" t="n">
        <x:v>24.97</x:v>
      </x:c>
      <x:c r="P32" s="34" t="str">
        <x:v>5.82 GiB</x:v>
      </x:c>
    </x:row>
    <x:row r="33">
      <x:c r="A33" s="37" t="n">
        <x:f>ROW()-4</x:f>
        <x:v>29</x:v>
      </x:c>
      <x:c r="B33" s="34" t="str">
        <x:v>datalake_platform_log_local</x:v>
      </x:c>
      <x:c r="C33" s="37" t="str">
        <x:f>IF(I33*1024&gt;='新集群汇总'!$B$14,"超大表",IF(I33*1024&gt;='新集群汇总'!$B$15,"大表",IF(I33*1024&gt;='新集群汇总'!$B$16,"中表","小表")))</x:f>
        <x:v>小表</x:v>
      </x:c>
      <x:c r="D33" s="37" t="str">
        <x:f>IF(E33&gt;='新集群汇总'!$H$14,"超高行数",IF(E33&gt;='新集群汇总'!$H$15,"高行数",IF(E33&gt;='新集群汇总'!$H$16,"中行数","低行数")))</x:f>
        <x:v>低行数</x:v>
      </x:c>
      <x:c r="E33" s="43" t="n">
        <x:v>8782183</x:v>
      </x:c>
      <x:c r="F33" s="46" t="n">
        <x:f>E33/100000000</x:f>
        <x:v>0.08782183</x:v>
      </x:c>
      <x:c r="G33" s="43" t="n">
        <x:v>47582520900</x:v>
      </x:c>
      <x:c r="H33" s="43" t="n">
        <x:v>4057483633</x:v>
      </x:c>
      <x:c r="I33" s="49" t="n">
        <x:f>H33/1099511627776</x:f>
        <x:v>0.0036902598667438724</x:v>
      </x:c>
      <x:c r="J33" s="52" t="n">
        <x:f>H33/SUM($H$5:$H$63)</x:f>
        <x:v>0.000020534960864868577</x:v>
      </x:c>
      <x:c r="K33" s="52" t="n">
        <x:f>SUM($J$5:J33)</x:f>
        <x:v>0.9999005736426041</x:v>
      </x:c>
      <x:c r="L33" s="49" t="n">
        <x:f>G33/1099511627776</x:f>
        <x:v>0.043276050655549625</x:v>
      </x:c>
      <x:c r="M33" s="46" t="n">
        <x:v>5418.07</x:v>
      </x:c>
      <x:c r="N33" s="46" t="n">
        <x:v>462.01</x:v>
      </x:c>
      <x:c r="O33" s="46" t="n">
        <x:v>11.73</x:v>
      </x:c>
      <x:c r="P33" s="34" t="str">
        <x:v>3.78 GiB</x:v>
      </x:c>
    </x:row>
    <x:row r="34">
      <x:c r="A34" s="37" t="n">
        <x:f>ROW()-4</x:f>
        <x:v>30</x:v>
      </x:c>
      <x:c r="B34" s="34" t="str">
        <x:v>pgsql_login_log_local</x:v>
      </x:c>
      <x:c r="C34" s="37" t="str">
        <x:f>IF(I34*1024&gt;='新集群汇总'!$B$14,"超大表",IF(I34*1024&gt;='新集群汇总'!$B$15,"大表",IF(I34*1024&gt;='新集群汇总'!$B$16,"中表","小表")))</x:f>
        <x:v>小表</x:v>
      </x:c>
      <x:c r="D34" s="37" t="str">
        <x:f>IF(E34&gt;='新集群汇总'!$H$14,"超高行数",IF(E34&gt;='新集群汇总'!$H$15,"高行数",IF(E34&gt;='新集群汇总'!$H$16,"中行数","低行数")))</x:f>
        <x:v>低行数</x:v>
      </x:c>
      <x:c r="E34" s="43" t="n">
        <x:v>17585184</x:v>
      </x:c>
      <x:c r="F34" s="46" t="n">
        <x:f>E34/100000000</x:f>
        <x:v>0.17585184</x:v>
      </x:c>
      <x:c r="G34" s="43" t="n">
        <x:v>27359734213</x:v>
      </x:c>
      <x:c r="H34" s="43" t="n">
        <x:v>3404019004</x:v>
      </x:c>
      <x:c r="I34" s="49" t="n">
        <x:f>H34/1099511627776</x:f>
        <x:v>0.00309593724887236</x:v>
      </x:c>
      <x:c r="J34" s="52" t="n">
        <x:f>H34/SUM($H$5:$H$63)</x:f>
        <x:v>0.000017227770547709047</x:v>
      </x:c>
      <x:c r="K34" s="52" t="n">
        <x:f>SUM($J$5:J34)</x:f>
        <x:v>0.9999178014131518</x:v>
      </x:c>
      <x:c r="L34" s="49" t="n">
        <x:f>G34/1099511627776</x:f>
        <x:v>0.024883533308639016</x:v>
      </x:c>
      <x:c r="M34" s="46" t="n">
        <x:v>1555.84</x:v>
      </x:c>
      <x:c r="N34" s="46" t="n">
        <x:v>193.57</x:v>
      </x:c>
      <x:c r="O34" s="46" t="n">
        <x:v>8.04</x:v>
      </x:c>
      <x:c r="P34" s="34" t="str">
        <x:v>3.17 GiB</x:v>
      </x:c>
    </x:row>
    <x:row r="35">
      <x:c r="A35" s="37" t="n">
        <x:f>ROW()-4</x:f>
        <x:v>31</x:v>
      </x:c>
      <x:c r="B35" s="34" t="str">
        <x:v>file_log_local</x:v>
      </x:c>
      <x:c r="C35" s="37" t="str">
        <x:f>IF(I35*1024&gt;='新集群汇总'!$B$14,"超大表",IF(I35*1024&gt;='新集群汇总'!$B$15,"大表",IF(I35*1024&gt;='新集群汇总'!$B$16,"中表","小表")))</x:f>
        <x:v>小表</x:v>
      </x:c>
      <x:c r="D35" s="37" t="str">
        <x:f>IF(E35&gt;='新集群汇总'!$H$14,"超高行数",IF(E35&gt;='新集群汇总'!$H$15,"高行数",IF(E35&gt;='新集群汇总'!$H$16,"中行数","低行数")))</x:f>
        <x:v>低行数</x:v>
      </x:c>
      <x:c r="E35" s="43" t="n">
        <x:v>581295</x:v>
      </x:c>
      <x:c r="F35" s="46" t="n">
        <x:f>E35/100000000</x:f>
        <x:v>0.00581295</x:v>
      </x:c>
      <x:c r="G35" s="43" t="n">
        <x:v>7867089139</x:v>
      </x:c>
      <x:c r="H35" s="43" t="n">
        <x:v>2185956874</x:v>
      </x:c>
      <x:c r="I35" s="49" t="n">
        <x:f>H35/1099511627776</x:f>
        <x:v>0.0019881161952071125</x:v>
      </x:c>
      <x:c r="J35" s="52" t="n">
        <x:f>H35/SUM($H$5:$H$63)</x:f>
        <x:v>0.00001106314724101327</x:v>
      </x:c>
      <x:c r="K35" s="52" t="n">
        <x:f>SUM($J$5:J35)</x:f>
        <x:v>0.9999288645603928</x:v>
      </x:c>
      <x:c r="L35" s="49" t="n">
        <x:f>G35/1099511627776</x:f>
        <x:v>0.007155075890295848</x:v>
      </x:c>
      <x:c r="M35" s="46" t="n">
        <x:v>13533.73</x:v>
      </x:c>
      <x:c r="N35" s="46" t="n">
        <x:v>3760.49</x:v>
      </x:c>
      <x:c r="O35" s="46" t="n">
        <x:v>3.6</x:v>
      </x:c>
      <x:c r="P35" s="34" t="str">
        <x:v>2.04 GiB</x:v>
      </x:c>
    </x:row>
    <x:row r="36">
      <x:c r="A36" s="37" t="n">
        <x:f>ROW()-4</x:f>
        <x:v>32</x:v>
      </x:c>
      <x:c r="B36" s="34" t="str">
        <x:v>ftp_login_log_local</x:v>
      </x:c>
      <x:c r="C36" s="37" t="str">
        <x:f>IF(I36*1024&gt;='新集群汇总'!$B$14,"超大表",IF(I36*1024&gt;='新集群汇总'!$B$15,"大表",IF(I36*1024&gt;='新集群汇总'!$B$16,"中表","小表")))</x:f>
        <x:v>小表</x:v>
      </x:c>
      <x:c r="D36" s="37" t="str">
        <x:f>IF(E36&gt;='新集群汇总'!$H$14,"超高行数",IF(E36&gt;='新集群汇总'!$H$15,"高行数",IF(E36&gt;='新集群汇总'!$H$16,"中行数","低行数")))</x:f>
        <x:v>低行数</x:v>
      </x:c>
      <x:c r="E36" s="43" t="n">
        <x:v>95323743</x:v>
      </x:c>
      <x:c r="F36" s="46" t="n">
        <x:f>E36/100000000</x:f>
        <x:v>0.95323743</x:v>
      </x:c>
      <x:c r="G36" s="43" t="n">
        <x:v>62735809200</x:v>
      </x:c>
      <x:c r="H36" s="43" t="n">
        <x:v>1950087690</x:v>
      </x:c>
      <x:c r="I36" s="49" t="n">
        <x:f>H36/1099511627776</x:f>
        <x:v>0.0017735944220476085</x:v>
      </x:c>
      <x:c r="J36" s="52" t="n">
        <x:f>H36/SUM($H$5:$H$63)</x:f>
        <x:v>0.000009869411196516332</x:v>
      </x:c>
      <x:c r="K36" s="52" t="n">
        <x:f>SUM($J$5:J36)</x:f>
        <x:v>0.9999387339715893</x:v>
      </x:c>
      <x:c r="L36" s="49" t="n">
        <x:f>G36/1099511627776</x:f>
        <x:v>0.05705788607883733</x:v>
      </x:c>
      <x:c r="M36" s="46" t="n">
        <x:v>658.13</x:v>
      </x:c>
      <x:c r="N36" s="46" t="n">
        <x:v>20.46</x:v>
      </x:c>
      <x:c r="O36" s="46" t="n">
        <x:v>32.17</x:v>
      </x:c>
      <x:c r="P36" s="34" t="str">
        <x:v>1.82 GiB</x:v>
      </x:c>
    </x:row>
    <x:row r="37">
      <x:c r="A37" s="37" t="n">
        <x:f>ROW()-4</x:f>
        <x:v>33</x:v>
      </x:c>
      <x:c r="B37" s="34" t="str">
        <x:v>datalake_report_log_local</x:v>
      </x:c>
      <x:c r="C37" s="37" t="str">
        <x:f>IF(I37*1024&gt;='新集群汇总'!$B$14,"超大表",IF(I37*1024&gt;='新集群汇总'!$B$15,"大表",IF(I37*1024&gt;='新集群汇总'!$B$16,"中表","小表")))</x:f>
        <x:v>小表</x:v>
      </x:c>
      <x:c r="D37" s="37" t="str">
        <x:f>IF(E37&gt;='新集群汇总'!$H$14,"超高行数",IF(E37&gt;='新集群汇总'!$H$15,"高行数",IF(E37&gt;='新集群汇总'!$H$16,"中行数","低行数")))</x:f>
        <x:v>低行数</x:v>
      </x:c>
      <x:c r="E37" s="43" t="n">
        <x:v>42506947</x:v>
      </x:c>
      <x:c r="F37" s="46" t="n">
        <x:f>E37/100000000</x:f>
        <x:v>0.42506947</x:v>
      </x:c>
      <x:c r="G37" s="43" t="n">
        <x:v>6097448113</x:v>
      </x:c>
      <x:c r="H37" s="43" t="n">
        <x:v>1526257580</x:v>
      </x:c>
      <x:c r="I37" s="49" t="n">
        <x:f>H37/1099511627776</x:f>
        <x:v>0.0013881231825507712</x:v>
      </x:c>
      <x:c r="J37" s="52" t="n">
        <x:f>H37/SUM($H$5:$H$63)</x:f>
        <x:v>0.000007724403228667076</x:v>
      </x:c>
      <x:c r="K37" s="52" t="n">
        <x:f>SUM($J$5:J37)</x:f>
        <x:v>0.999946458374818</x:v>
      </x:c>
      <x:c r="L37" s="49" t="n">
        <x:f>G37/1099511627776</x:f>
        <x:v>0.005545596753108839</x:v>
      </x:c>
      <x:c r="M37" s="46" t="n">
        <x:v>143.45</x:v>
      </x:c>
      <x:c r="N37" s="46" t="n">
        <x:v>35.91</x:v>
      </x:c>
      <x:c r="O37" s="46" t="n">
        <x:v>4</x:v>
      </x:c>
      <x:c r="P37" s="34" t="str">
        <x:v>1.42 GiB</x:v>
      </x:c>
    </x:row>
    <x:row r="38">
      <x:c r="A38" s="37" t="n">
        <x:f>ROW()-4</x:f>
        <x:v>34</x:v>
      </x:c>
      <x:c r="B38" s="34" t="str">
        <x:v>count_log_local</x:v>
      </x:c>
      <x:c r="C38" s="37" t="str">
        <x:f>IF(I38*1024&gt;='新集群汇总'!$B$14,"超大表",IF(I38*1024&gt;='新集群汇总'!$B$15,"大表",IF(I38*1024&gt;='新集群汇总'!$B$16,"中表","小表")))</x:f>
        <x:v>小表</x:v>
      </x:c>
      <x:c r="D38" s="37" t="str">
        <x:f>IF(E38&gt;='新集群汇总'!$H$14,"超高行数",IF(E38&gt;='新集群汇总'!$H$15,"高行数",IF(E38&gt;='新集群汇总'!$H$16,"中行数","低行数")))</x:f>
        <x:v>中行数</x:v>
      </x:c>
      <x:c r="E38" s="43" t="n">
        <x:v>396817205</x:v>
      </x:c>
      <x:c r="F38" s="46" t="n">
        <x:f>E38/100000000</x:f>
        <x:v>3.96817205</x:v>
      </x:c>
      <x:c r="G38" s="43" t="n">
        <x:v>10302211405</x:v>
      </x:c>
      <x:c r="H38" s="43" t="n">
        <x:v>1275490543</x:v>
      </x:c>
      <x:c r="I38" s="49" t="n">
        <x:f>H38/1099511627776</x:f>
        <x:v>0.0011600518910199753</x:v>
      </x:c>
      <x:c r="J38" s="52" t="n">
        <x:f>H38/SUM($H$5:$H$63)</x:f>
        <x:v>0.0000064552690172280895</x:v>
      </x:c>
      <x:c r="K38" s="52" t="n">
        <x:f>SUM($J$5:J38)</x:f>
        <x:v>0.9999529136438352</x:v>
      </x:c>
      <x:c r="L38" s="49" t="n">
        <x:f>G38/1099511627776</x:f>
        <x:v>0.009369806689392135</x:v>
      </x:c>
      <x:c r="M38" s="46" t="n">
        <x:v>25.96</x:v>
      </x:c>
      <x:c r="N38" s="46" t="n">
        <x:v>3.21</x:v>
      </x:c>
      <x:c r="O38" s="46" t="n">
        <x:v>8.08</x:v>
      </x:c>
      <x:c r="P38" s="34" t="str">
        <x:v>1.19 GiB</x:v>
      </x:c>
    </x:row>
    <x:row r="39">
      <x:c r="A39" s="37" t="n">
        <x:f>ROW()-4</x:f>
        <x:v>35</x:v>
      </x:c>
      <x:c r="B39" s="34" t="str">
        <x:v>onvif_log_local</x:v>
      </x:c>
      <x:c r="C39" s="37" t="str">
        <x:f>IF(I39*1024&gt;='新集群汇总'!$B$14,"超大表",IF(I39*1024&gt;='新集群汇总'!$B$15,"大表",IF(I39*1024&gt;='新集群汇总'!$B$16,"中表","小表")))</x:f>
        <x:v>小表</x:v>
      </x:c>
      <x:c r="D39" s="37" t="str">
        <x:f>IF(E39&gt;='新集群汇总'!$H$14,"超高行数",IF(E39&gt;='新集群汇总'!$H$15,"高行数",IF(E39&gt;='新集群汇总'!$H$16,"中行数","低行数")))</x:f>
        <x:v>低行数</x:v>
      </x:c>
      <x:c r="E39" s="43" t="n">
        <x:v>11688054</x:v>
      </x:c>
      <x:c r="F39" s="46" t="n">
        <x:f>E39/100000000</x:f>
        <x:v>0.11688054</x:v>
      </x:c>
      <x:c r="G39" s="43" t="n">
        <x:v>51479087756</x:v>
      </x:c>
      <x:c r="H39" s="43" t="n">
        <x:v>1155691421</x:v>
      </x:c>
      <x:c r="I39" s="49" t="n">
        <x:f>H39/1099511627776</x:f>
        <x:v>0.0010510952242839267</x:v>
      </x:c>
      <x:c r="J39" s="52" t="n">
        <x:f>H39/SUM($H$5:$H$63)</x:f>
        <x:v>0.000005848964592015485</x:v>
      </x:c>
      <x:c r="K39" s="52" t="n">
        <x:f>SUM($J$5:J39)</x:f>
        <x:v>0.9999587626084272</x:v>
      </x:c>
      <x:c r="L39" s="49" t="n">
        <x:f>G39/1099511627776</x:f>
        <x:v>0.04681995756618562</x:v>
      </x:c>
      <x:c r="M39" s="46" t="n">
        <x:v>4404.42</x:v>
      </x:c>
      <x:c r="N39" s="46" t="n">
        <x:v>98.88</x:v>
      </x:c>
      <x:c r="O39" s="46" t="n">
        <x:v>44.54</x:v>
      </x:c>
      <x:c r="P39" s="34" t="str">
        <x:v>1.08 GiB</x:v>
      </x:c>
    </x:row>
    <x:row r="40">
      <x:c r="A40" s="37" t="n">
        <x:f>ROW()-4</x:f>
        <x:v>36</x:v>
      </x:c>
      <x:c r="B40" s="34" t="str">
        <x:v>pop3_login_log_local</x:v>
      </x:c>
      <x:c r="C40" s="37" t="str">
        <x:f>IF(I40*1024&gt;='新集群汇总'!$B$14,"超大表",IF(I40*1024&gt;='新集群汇总'!$B$15,"大表",IF(I40*1024&gt;='新集群汇总'!$B$16,"中表","小表")))</x:f>
        <x:v>小表</x:v>
      </x:c>
      <x:c r="D40" s="37" t="str">
        <x:f>IF(E40&gt;='新集群汇总'!$H$14,"超高行数",IF(E40&gt;='新集群汇总'!$H$15,"高行数",IF(E40&gt;='新集群汇总'!$H$16,"中行数","低行数")))</x:f>
        <x:v>低行数</x:v>
      </x:c>
      <x:c r="E40" s="43" t="n">
        <x:v>29584275</x:v>
      </x:c>
      <x:c r="F40" s="46" t="n">
        <x:f>E40/100000000</x:f>
        <x:v>0.29584275</x:v>
      </x:c>
      <x:c r="G40" s="43" t="n">
        <x:v>22235883869</x:v>
      </x:c>
      <x:c r="H40" s="43" t="n">
        <x:v>1074885159</x:v>
      </x:c>
      <x:c r="I40" s="49" t="n">
        <x:f>H40/1099511627776</x:f>
        <x:v>0.0009776023571248516</x:v>
      </x:c>
      <x:c r="J40" s="52" t="n">
        <x:f>H40/SUM($H$5:$H$63)</x:f>
        <x:v>0.000005440003379132063</x:v>
      </x:c>
      <x:c r="K40" s="52" t="n">
        <x:f>SUM($J$5:J40)</x:f>
        <x:v>0.9999642026118063</x:v>
      </x:c>
      <x:c r="L40" s="49" t="n">
        <x:f>G40/1099511627776</x:f>
        <x:v>0.02022341856809362</x:v>
      </x:c>
      <x:c r="M40" s="46" t="n">
        <x:v>751.61</x:v>
      </x:c>
      <x:c r="N40" s="46" t="n">
        <x:v>36.33</x:v>
      </x:c>
      <x:c r="O40" s="46" t="n">
        <x:v>20.69</x:v>
      </x:c>
      <x:c r="P40" s="34" t="str">
        <x:v>1.00 GiB</x:v>
      </x:c>
    </x:row>
    <x:row r="41">
      <x:c r="A41" s="37" t="n">
        <x:f>ROW()-4</x:f>
        <x:v>37</x:v>
      </x:c>
      <x:c r="B41" s="34" t="str">
        <x:v>weak_log_local</x:v>
      </x:c>
      <x:c r="C41" s="37" t="str">
        <x:f>IF(I41*1024&gt;='新集群汇总'!$B$14,"超大表",IF(I41*1024&gt;='新集群汇总'!$B$15,"大表",IF(I41*1024&gt;='新集群汇总'!$B$16,"中表","小表")))</x:f>
        <x:v>小表</x:v>
      </x:c>
      <x:c r="D41" s="37" t="str">
        <x:f>IF(E41&gt;='新集群汇总'!$H$14,"超高行数",IF(E41&gt;='新集群汇总'!$H$15,"高行数",IF(E41&gt;='新集群汇总'!$H$16,"中行数","低行数")))</x:f>
        <x:v>低行数</x:v>
      </x:c>
      <x:c r="E41" s="43" t="n">
        <x:v>5223188</x:v>
      </x:c>
      <x:c r="F41" s="46" t="n">
        <x:f>E41/100000000</x:f>
        <x:v>0.05223188</x:v>
      </x:c>
      <x:c r="G41" s="43" t="n">
        <x:v>6668086185</x:v>
      </x:c>
      <x:c r="H41" s="43" t="n">
        <x:v>951613227</x:v>
      </x:c>
      <x:c r="I41" s="49" t="n">
        <x:f>H41/1099511627776</x:f>
        <x:v>0.0008654871880935389</x:v>
      </x:c>
      <x:c r="J41" s="52" t="n">
        <x:f>H41/SUM($H$5:$H$63)</x:f>
        <x:v>0.000004816123031527284</x:v>
      </x:c>
      <x:c r="K41" s="52" t="n">
        <x:f>SUM($J$5:J41)</x:f>
        <x:v>0.9999690187348378</x:v>
      </x:c>
      <x:c r="L41" s="49" t="n">
        <x:f>G41/1099511627776</x:f>
        <x:v>0.006064589056222758</x:v>
      </x:c>
      <x:c r="M41" s="46" t="n">
        <x:v>1276.63</x:v>
      </x:c>
      <x:c r="N41" s="46" t="n">
        <x:v>182.19</x:v>
      </x:c>
      <x:c r="O41" s="46" t="n">
        <x:v>7.01</x:v>
      </x:c>
      <x:c r="P41" s="34" t="str">
        <x:v>907.53 MiB</x:v>
      </x:c>
    </x:row>
    <x:row r="42">
      <x:c r="A42" s="37" t="n">
        <x:f>ROW()-4</x:f>
        <x:v>38</x:v>
      </x:c>
      <x:c r="B42" s="34" t="str">
        <x:v>ti_network_security_log_local</x:v>
      </x:c>
      <x:c r="C42" s="37" t="str">
        <x:f>IF(I42*1024&gt;='新集群汇总'!$B$14,"超大表",IF(I42*1024&gt;='新集群汇总'!$B$15,"大表",IF(I42*1024&gt;='新集群汇总'!$B$16,"中表","小表")))</x:f>
        <x:v>小表</x:v>
      </x:c>
      <x:c r="D42" s="37" t="str">
        <x:f>IF(E42&gt;='新集群汇总'!$H$14,"超高行数",IF(E42&gt;='新集群汇总'!$H$15,"高行数",IF(E42&gt;='新集群汇总'!$H$16,"中行数","低行数")))</x:f>
        <x:v>低行数</x:v>
      </x:c>
      <x:c r="E42" s="43" t="n">
        <x:v>52501841</x:v>
      </x:c>
      <x:c r="F42" s="46" t="n">
        <x:f>E42/100000000</x:f>
        <x:v>0.52501841</x:v>
      </x:c>
      <x:c r="G42" s="43" t="n">
        <x:v>2106264358</x:v>
      </x:c>
      <x:c r="H42" s="43" t="n">
        <x:v>876543386</x:v>
      </x:c>
      <x:c r="I42" s="49" t="n">
        <x:f>H42/1099511627776</x:f>
        <x:v>0.0007972115654411027</x:v>
      </x:c>
      <x:c r="J42" s="52" t="n">
        <x:f>H42/SUM($H$5:$H$63)</x:f>
        <x:v>0.0000044361938965015145</x:v>
      </x:c>
      <x:c r="K42" s="52" t="n">
        <x:f>SUM($J$5:J42)</x:f>
        <x:v>0.9999734549287342</x:v>
      </x:c>
      <x:c r="L42" s="49" t="n">
        <x:f>G42/1099511627776</x:f>
        <x:v>0.0019156362741341582</x:v>
      </x:c>
      <x:c r="M42" s="46" t="n">
        <x:v>40.12</x:v>
      </x:c>
      <x:c r="N42" s="46" t="n">
        <x:v>16.7</x:v>
      </x:c>
      <x:c r="O42" s="46" t="n">
        <x:v>2.4</x:v>
      </x:c>
      <x:c r="P42" s="34" t="str">
        <x:v>835.94 MiB</x:v>
      </x:c>
    </x:row>
    <x:row r="43">
      <x:c r="A43" s="37" t="n">
        <x:f>ROW()-4</x:f>
        <x:v>39</x:v>
      </x:c>
      <x:c r="B43" s="34" t="str">
        <x:v>xdr_net_ops_local</x:v>
      </x:c>
      <x:c r="C43" s="37" t="str">
        <x:f>IF(I43*1024&gt;='新集群汇总'!$B$14,"超大表",IF(I43*1024&gt;='新集群汇总'!$B$15,"大表",IF(I43*1024&gt;='新集群汇总'!$B$16,"中表","小表")))</x:f>
        <x:v>小表</x:v>
      </x:c>
      <x:c r="D43" s="37" t="str">
        <x:f>IF(E43&gt;='新集群汇总'!$H$14,"超高行数",IF(E43&gt;='新集群汇总'!$H$15,"高行数",IF(E43&gt;='新集群汇总'!$H$16,"中行数","低行数")))</x:f>
        <x:v>低行数</x:v>
      </x:c>
      <x:c r="E43" s="43" t="n">
        <x:v>37893093</x:v>
      </x:c>
      <x:c r="F43" s="46" t="n">
        <x:f>E43/100000000</x:f>
        <x:v>0.37893093</x:v>
      </x:c>
      <x:c r="G43" s="43" t="n">
        <x:v>7429722505</x:v>
      </x:c>
      <x:c r="H43" s="43" t="n">
        <x:v>669915309</x:v>
      </x:c>
      <x:c r="I43" s="49" t="n">
        <x:f>H43/1099511627776</x:f>
        <x:v>0.0006092844241720741</x:v>
      </x:c>
      <x:c r="J43" s="52" t="n">
        <x:f>H43/SUM($H$5:$H$63)</x:f>
        <x:v>0.000003390447355401899</x:v>
      </x:c>
      <x:c r="K43" s="52" t="n">
        <x:f>SUM($J$5:J43)</x:f>
        <x:v>0.9999768453760897</x:v>
      </x:c>
      <x:c r="L43" s="49" t="n">
        <x:f>G43/1099511627776</x:f>
        <x:v>0.006757293253940588</x:v>
      </x:c>
      <x:c r="M43" s="46" t="n">
        <x:v>196.07</x:v>
      </x:c>
      <x:c r="N43" s="46" t="n">
        <x:v>17.68</x:v>
      </x:c>
      <x:c r="O43" s="46" t="n">
        <x:v>11.09</x:v>
      </x:c>
      <x:c r="P43" s="34" t="str">
        <x:v>638.88 MiB</x:v>
      </x:c>
    </x:row>
    <x:row r="44">
      <x:c r="A44" s="37" t="n">
        <x:f>ROW()-4</x:f>
        <x:v>40</x:v>
      </x:c>
      <x:c r="B44" s="34" t="str">
        <x:v>check_data_device_health_log_local</x:v>
      </x:c>
      <x:c r="C44" s="37" t="str">
        <x:f>IF(I44*1024&gt;='新集群汇总'!$B$14,"超大表",IF(I44*1024&gt;='新集群汇总'!$B$15,"大表",IF(I44*1024&gt;='新集群汇总'!$B$16,"中表","小表")))</x:f>
        <x:v>小表</x:v>
      </x:c>
      <x:c r="D44" s="37" t="str">
        <x:f>IF(E44&gt;='新集群汇总'!$H$14,"超高行数",IF(E44&gt;='新集群汇总'!$H$15,"高行数",IF(E44&gt;='新集群汇总'!$H$16,"中行数","低行数")))</x:f>
        <x:v>低行数</x:v>
      </x:c>
      <x:c r="E44" s="43" t="n">
        <x:v>3536991</x:v>
      </x:c>
      <x:c r="F44" s="46" t="n">
        <x:f>E44/100000000</x:f>
        <x:v>0.03536991</x:v>
      </x:c>
      <x:c r="G44" s="43" t="n">
        <x:v>8836769450</x:v>
      </x:c>
      <x:c r="H44" s="43" t="n">
        <x:v>662272898</x:v>
      </x:c>
      <x:c r="I44" s="49" t="n">
        <x:f>H44/1099511627776</x:f>
        <x:v>0.0006023336918588029</x:v>
      </x:c>
      <x:c r="J44" s="52" t="n">
        <x:f>H44/SUM($H$5:$H$63)</x:f>
        <x:v>0.0000033517690451502307</x:v>
      </x:c>
      <x:c r="K44" s="52" t="n">
        <x:f>SUM($J$5:J44)</x:f>
        <x:v>0.9999801971451349</x:v>
      </x:c>
      <x:c r="L44" s="49" t="n">
        <x:f>G44/1099511627776</x:f>
        <x:v>0.008036994995563873</x:v>
      </x:c>
      <x:c r="M44" s="46" t="n">
        <x:v>2498.39</x:v>
      </x:c>
      <x:c r="N44" s="46" t="n">
        <x:v>187.24</x:v>
      </x:c>
      <x:c r="O44" s="46" t="n">
        <x:v>13.34</x:v>
      </x:c>
      <x:c r="P44" s="34" t="str">
        <x:v>631.59 MiB</x:v>
      </x:c>
    </x:row>
    <x:row r="45">
      <x:c r="A45" s="37" t="n">
        <x:f>ROW()-4</x:f>
        <x:v>41</x:v>
      </x:c>
      <x:c r="B45" s="34" t="str">
        <x:v>pop3_log_local</x:v>
      </x:c>
      <x:c r="C45" s="37" t="str">
        <x:f>IF(I45*1024&gt;='新集群汇总'!$B$14,"超大表",IF(I45*1024&gt;='新集群汇总'!$B$15,"大表",IF(I45*1024&gt;='新集群汇总'!$B$16,"中表","小表")))</x:f>
        <x:v>小表</x:v>
      </x:c>
      <x:c r="D45" s="37" t="str">
        <x:f>IF(E45&gt;='新集群汇总'!$H$14,"超高行数",IF(E45&gt;='新集群汇总'!$H$15,"高行数",IF(E45&gt;='新集群汇总'!$H$16,"中行数","低行数")))</x:f>
        <x:v>低行数</x:v>
      </x:c>
      <x:c r="E45" s="43" t="n">
        <x:v>504222</x:v>
      </x:c>
      <x:c r="F45" s="46" t="n">
        <x:f>E45/100000000</x:f>
        <x:v>0.00504222</x:v>
      </x:c>
      <x:c r="G45" s="43" t="n">
        <x:v>5314949058</x:v>
      </x:c>
      <x:c r="H45" s="43" t="n">
        <x:v>528854136</x:v>
      </x:c>
      <x:c r="I45" s="49" t="n">
        <x:f>H45/1099511627776</x:f>
        <x:v>0.00048099003470269963</x:v>
      </x:c>
      <x:c r="J45" s="52" t="n">
        <x:f>H45/SUM($H$5:$H$63)</x:f>
        <x:v>0.00000267653550039197</x:v>
      </x:c>
      <x:c r="K45" s="52" t="n">
        <x:f>SUM($J$5:J45)</x:f>
        <x:v>0.9999828736806352</x:v>
      </x:c>
      <x:c r="L45" s="49" t="n">
        <x:f>G45/1099511627776</x:f>
        <x:v>0.004833918008444016</x:v>
      </x:c>
      <x:c r="M45" s="46" t="n">
        <x:v>10540.89</x:v>
      </x:c>
      <x:c r="N45" s="46" t="n">
        <x:v>1048.85</x:v>
      </x:c>
      <x:c r="O45" s="46" t="n">
        <x:v>10.05</x:v>
      </x:c>
      <x:c r="P45" s="34" t="str">
        <x:v>504.35 MiB</x:v>
      </x:c>
    </x:row>
    <x:row r="46">
      <x:c r="A46" s="37" t="n">
        <x:f>ROW()-4</x:f>
        <x:v>42</x:v>
      </x:c>
      <x:c r="B46" s="34" t="str">
        <x:v>ztna_access_log_local</x:v>
      </x:c>
      <x:c r="C46" s="37" t="str">
        <x:f>IF(I46*1024&gt;='新集群汇总'!$B$14,"超大表",IF(I46*1024&gt;='新集群汇总'!$B$15,"大表",IF(I46*1024&gt;='新集群汇总'!$B$16,"中表","小表")))</x:f>
        <x:v>小表</x:v>
      </x:c>
      <x:c r="D46" s="37" t="str">
        <x:f>IF(E46&gt;='新集群汇总'!$H$14,"超高行数",IF(E46&gt;='新集群汇总'!$H$15,"高行数",IF(E46&gt;='新集群汇总'!$H$16,"中行数","低行数")))</x:f>
        <x:v>低行数</x:v>
      </x:c>
      <x:c r="E46" s="43" t="n">
        <x:v>3286134</x:v>
      </x:c>
      <x:c r="F46" s="46" t="n">
        <x:f>E46/100000000</x:f>
        <x:v>0.03286134</x:v>
      </x:c>
      <x:c r="G46" s="43" t="n">
        <x:v>11868997632</x:v>
      </x:c>
      <x:c r="H46" s="43" t="n">
        <x:v>508301465</x:v>
      </x:c>
      <x:c r="I46" s="49" t="n">
        <x:f>H46/1099511627776</x:f>
        <x:v>0.0004622974893209175</x:v>
      </x:c>
      <x:c r="J46" s="52" t="n">
        <x:f>H46/SUM($H$5:$H$63)</x:f>
        <x:v>0.0000025725182491032774</x:v>
      </x:c>
      <x:c r="K46" s="52" t="n">
        <x:f>SUM($J$5:J46)</x:f>
        <x:v>0.9999854461988843</x:v>
      </x:c>
      <x:c r="L46" s="49" t="n">
        <x:f>G46/1099511627776</x:f>
        <x:v>0.010794790461659431</x:v>
      </x:c>
      <x:c r="M46" s="46" t="n">
        <x:v>3611.84</x:v>
      </x:c>
      <x:c r="N46" s="46" t="n">
        <x:v>154.68</x:v>
      </x:c>
      <x:c r="O46" s="46" t="n">
        <x:v>23.35</x:v>
      </x:c>
      <x:c r="P46" s="34" t="str">
        <x:v>484.75 MiB</x:v>
      </x:c>
    </x:row>
    <x:row r="47">
      <x:c r="A47" s="37" t="n">
        <x:f>ROW()-4</x:f>
        <x:v>43</x:v>
      </x:c>
      <x:c r="B47" s="34" t="str">
        <x:v>ldap_log_local</x:v>
      </x:c>
      <x:c r="C47" s="37" t="str">
        <x:f>IF(I47*1024&gt;='新集群汇总'!$B$14,"超大表",IF(I47*1024&gt;='新集群汇总'!$B$15,"大表",IF(I47*1024&gt;='新集群汇总'!$B$16,"中表","小表")))</x:f>
        <x:v>小表</x:v>
      </x:c>
      <x:c r="D47" s="37" t="str">
        <x:f>IF(E47&gt;='新集群汇总'!$H$14,"超高行数",IF(E47&gt;='新集群汇总'!$H$15,"高行数",IF(E47&gt;='新集群汇总'!$H$16,"中行数","低行数")))</x:f>
        <x:v>低行数</x:v>
      </x:c>
      <x:c r="E47" s="43" t="n">
        <x:v>19115243</x:v>
      </x:c>
      <x:c r="F47" s="46" t="n">
        <x:f>E47/100000000</x:f>
        <x:v>0.19115243</x:v>
      </x:c>
      <x:c r="G47" s="43" t="n">
        <x:v>14211564989</x:v>
      </x:c>
      <x:c r="H47" s="43" t="n">
        <x:v>471090238</x:v>
      </x:c>
      <x:c r="I47" s="49" t="n">
        <x:f>H47/1099511627776</x:f>
        <x:v>0.0004284540755179478</x:v>
      </x:c>
      <x:c r="J47" s="52" t="n">
        <x:f>H47/SUM($H$5:$H$63)</x:f>
        <x:v>0.0000023841918972816775</x:v>
      </x:c>
      <x:c r="K47" s="52" t="n">
        <x:f>SUM($J$5:J47)</x:f>
        <x:v>0.9999878303907815</x:v>
      </x:c>
      <x:c r="L47" s="49" t="n">
        <x:f>G47/1099511627776</x:f>
        <x:v>0.012925343061397143</x:v>
      </x:c>
      <x:c r="M47" s="46" t="n">
        <x:v>743.47</x:v>
      </x:c>
      <x:c r="N47" s="46" t="n">
        <x:v>24.64</x:v>
      </x:c>
      <x:c r="O47" s="46" t="n">
        <x:v>30.17</x:v>
      </x:c>
      <x:c r="P47" s="34" t="str">
        <x:v>449.27 MiB</x:v>
      </x:c>
    </x:row>
    <x:row r="48">
      <x:c r="A48" s="37" t="n">
        <x:f>ROW()-4</x:f>
        <x:v>44</x:v>
      </x:c>
      <x:c r="B48" s="34" t="str">
        <x:v>socks_log_local</x:v>
      </x:c>
      <x:c r="C48" s="37" t="str">
        <x:f>IF(I48*1024&gt;='新集群汇总'!$B$14,"超大表",IF(I48*1024&gt;='新集群汇总'!$B$15,"大表",IF(I48*1024&gt;='新集群汇总'!$B$16,"中表","小表")))</x:f>
        <x:v>小表</x:v>
      </x:c>
      <x:c r="D48" s="37" t="str">
        <x:f>IF(E48&gt;='新集群汇总'!$H$14,"超高行数",IF(E48&gt;='新集群汇总'!$H$15,"高行数",IF(E48&gt;='新集群汇总'!$H$16,"中行数","低行数")))</x:f>
        <x:v>低行数</x:v>
      </x:c>
      <x:c r="E48" s="43" t="n">
        <x:v>18580720</x:v>
      </x:c>
      <x:c r="F48" s="46" t="n">
        <x:f>E48/100000000</x:f>
        <x:v>0.1858072</x:v>
      </x:c>
      <x:c r="G48" s="43" t="n">
        <x:v>13799334644</x:v>
      </x:c>
      <x:c r="H48" s="43" t="n">
        <x:v>459994303</x:v>
      </x:c>
      <x:c r="I48" s="49" t="n">
        <x:f>H48/1099511627776</x:f>
        <x:v>0.000418362381424231</x:v>
      </x:c>
      <x:c r="J48" s="52" t="n">
        <x:f>H48/SUM($H$5:$H$63)</x:f>
        <x:v>0.000002328035271255892</x:v>
      </x:c>
      <x:c r="K48" s="52" t="n">
        <x:f>SUM($J$5:J48)</x:f>
        <x:v>0.9999901584260528</x:v>
      </x:c>
      <x:c r="L48" s="49" t="n">
        <x:f>G48/1099511627776</x:f>
        <x:v>0.012550421746709617</x:v>
      </x:c>
      <x:c r="M48" s="46" t="n">
        <x:v>742.67</x:v>
      </x:c>
      <x:c r="N48" s="46" t="n">
        <x:v>24.76</x:v>
      </x:c>
      <x:c r="O48" s="46" t="n">
        <x:v>30</x:v>
      </x:c>
      <x:c r="P48" s="34" t="str">
        <x:v>438.68 MiB</x:v>
      </x:c>
    </x:row>
    <x:row r="49">
      <x:c r="A49" s="37" t="n">
        <x:f>ROW()-4</x:f>
        <x:v>45</x:v>
      </x:c>
      <x:c r="B49" s="34" t="str">
        <x:v>vpn_log_local</x:v>
      </x:c>
      <x:c r="C49" s="37" t="str">
        <x:f>IF(I49*1024&gt;='新集群汇总'!$B$14,"超大表",IF(I49*1024&gt;='新集群汇总'!$B$15,"大表",IF(I49*1024&gt;='新集群汇总'!$B$16,"中表","小表")))</x:f>
        <x:v>小表</x:v>
      </x:c>
      <x:c r="D49" s="37" t="str">
        <x:f>IF(E49&gt;='新集群汇总'!$H$14,"超高行数",IF(E49&gt;='新集群汇总'!$H$15,"高行数",IF(E49&gt;='新集群汇总'!$H$16,"中行数","低行数")))</x:f>
        <x:v>低行数</x:v>
      </x:c>
      <x:c r="E49" s="43" t="n">
        <x:v>14884462</x:v>
      </x:c>
      <x:c r="F49" s="46" t="n">
        <x:f>E49/100000000</x:f>
        <x:v>0.14884462</x:v>
      </x:c>
      <x:c r="G49" s="43" t="n">
        <x:v>13570189803</x:v>
      </x:c>
      <x:c r="H49" s="43" t="n">
        <x:v>431954074</x:v>
      </x:c>
      <x:c r="I49" s="49" t="n">
        <x:f>H49/1099511627776</x:f>
        <x:v>0.0003928599417122314</x:v>
      </x:c>
      <x:c r="J49" s="52" t="n">
        <x:f>H49/SUM($H$5:$H$63)</x:f>
        <x:v>0.0000021861234221300295</x:v>
      </x:c>
      <x:c r="K49" s="52" t="n">
        <x:f>SUM($J$5:J49)</x:f>
        <x:v>0.9999923445494749</x:v>
      </x:c>
      <x:c r="L49" s="49" t="n">
        <x:f>G49/1099511627776</x:f>
        <x:v>0.012342015727881517</x:v>
      </x:c>
      <x:c r="M49" s="46" t="n">
        <x:v>911.7</x:v>
      </x:c>
      <x:c r="N49" s="46" t="n">
        <x:v>29.02</x:v>
      </x:c>
      <x:c r="O49" s="46" t="n">
        <x:v>31.42</x:v>
      </x:c>
      <x:c r="P49" s="34" t="str">
        <x:v>411.94 MiB</x:v>
      </x:c>
    </x:row>
    <x:row r="50">
      <x:c r="A50" s="37" t="n">
        <x:f>ROW()-4</x:f>
        <x:v>46</x:v>
      </x:c>
      <x:c r="B50" s="34" t="str">
        <x:v>ztna_user_log_local</x:v>
      </x:c>
      <x:c r="C50" s="37" t="str">
        <x:f>IF(I50*1024&gt;='新集群汇总'!$B$14,"超大表",IF(I50*1024&gt;='新集群汇总'!$B$15,"大表",IF(I50*1024&gt;='新集群汇总'!$B$16,"中表","小表")))</x:f>
        <x:v>小表</x:v>
      </x:c>
      <x:c r="D50" s="37" t="str">
        <x:f>IF(E50&gt;='新集群汇总'!$H$14,"超高行数",IF(E50&gt;='新集群汇总'!$H$15,"高行数",IF(E50&gt;='新集群汇总'!$H$16,"中行数","低行数")))</x:f>
        <x:v>低行数</x:v>
      </x:c>
      <x:c r="E50" s="43" t="n">
        <x:v>4329974</x:v>
      </x:c>
      <x:c r="F50" s="46" t="n">
        <x:f>E50/100000000</x:f>
        <x:v>0.04329974</x:v>
      </x:c>
      <x:c r="G50" s="43" t="n">
        <x:v>3759776832</x:v>
      </x:c>
      <x:c r="H50" s="43" t="n">
        <x:v>428720954</x:v>
      </x:c>
      <x:c r="I50" s="49" t="n">
        <x:f>H50/1099511627776</x:f>
        <x:v>0.0003899194362020353</x:v>
      </x:c>
      <x:c r="J50" s="52" t="n">
        <x:f>H50/SUM($H$5:$H$63)</x:f>
        <x:v>0.0000021697605729662152</x:v>
      </x:c>
      <x:c r="K50" s="52" t="n">
        <x:f>SUM($J$5:J50)</x:f>
        <x:v>0.9999945143100479</x:v>
      </x:c>
      <x:c r="L50" s="49" t="n">
        <x:f>G50/1099511627776</x:f>
        <x:v>0.003419497108552605</x:v>
      </x:c>
      <x:c r="M50" s="46" t="n">
        <x:v>868.31</x:v>
      </x:c>
      <x:c r="N50" s="46" t="n">
        <x:v>99.01</x:v>
      </x:c>
      <x:c r="O50" s="46" t="n">
        <x:v>8.77</x:v>
      </x:c>
      <x:c r="P50" s="34" t="str">
        <x:v>408.86 MiB</x:v>
      </x:c>
    </x:row>
    <x:row r="51">
      <x:c r="A51" s="37" t="n">
        <x:f>ROW()-4</x:f>
        <x:v>47</x:v>
      </x:c>
      <x:c r="B51" s="34" t="str">
        <x:v>alp_log_local</x:v>
      </x:c>
      <x:c r="C51" s="37" t="str">
        <x:f>IF(I51*1024&gt;='新集群汇总'!$B$14,"超大表",IF(I51*1024&gt;='新集群汇总'!$B$15,"大表",IF(I51*1024&gt;='新集群汇总'!$B$16,"中表","小表")))</x:f>
        <x:v>小表</x:v>
      </x:c>
      <x:c r="D51" s="37" t="str">
        <x:f>IF(E51&gt;='新集群汇总'!$H$14,"超高行数",IF(E51&gt;='新集群汇总'!$H$15,"高行数",IF(E51&gt;='新集群汇总'!$H$16,"中行数","低行数")))</x:f>
        <x:v>低行数</x:v>
      </x:c>
      <x:c r="E51" s="43" t="n">
        <x:v>11288242</x:v>
      </x:c>
      <x:c r="F51" s="46" t="n">
        <x:f>E51/100000000</x:f>
        <x:v>0.11288242</x:v>
      </x:c>
      <x:c r="G51" s="43" t="n">
        <x:v>21264490372</x:v>
      </x:c>
      <x:c r="H51" s="43" t="n">
        <x:v>390235220</x:v>
      </x:c>
      <x:c r="I51" s="49" t="n">
        <x:f>H51/1099511627776</x:f>
        <x:v>0.00035491686503519304</x:v>
      </x:c>
      <x:c r="J51" s="52" t="n">
        <x:f>H51/SUM($H$5:$H$63)</x:f>
        <x:v>0.000001974983929847285</x:v>
      </x:c>
      <x:c r="K51" s="52" t="n">
        <x:f>SUM($J$5:J51)</x:f>
        <x:v>0.9999964892939778</x:v>
      </x:c>
      <x:c r="L51" s="49" t="n">
        <x:f>G51/1099511627776</x:f>
        <x:v>0.019339941329235444</x:v>
      </x:c>
      <x:c r="M51" s="46" t="n">
        <x:v>1883.77</x:v>
      </x:c>
      <x:c r="N51" s="46" t="n">
        <x:v>34.57</x:v>
      </x:c>
      <x:c r="O51" s="46" t="n">
        <x:v>54.49</x:v>
      </x:c>
      <x:c r="P51" s="34" t="str">
        <x:v>372.16 MiB</x:v>
      </x:c>
    </x:row>
    <x:row r="52">
      <x:c r="A52" s="37" t="n">
        <x:f>ROW()-4</x:f>
        <x:v>48</x:v>
      </x:c>
      <x:c r="B52" s="34" t="str">
        <x:v>smtp_log_local</x:v>
      </x:c>
      <x:c r="C52" s="37" t="str">
        <x:f>IF(I52*1024&gt;='新集群汇总'!$B$14,"超大表",IF(I52*1024&gt;='新集群汇总'!$B$15,"大表",IF(I52*1024&gt;='新集群汇总'!$B$16,"中表","小表")))</x:f>
        <x:v>小表</x:v>
      </x:c>
      <x:c r="D52" s="37" t="str">
        <x:f>IF(E52&gt;='新集群汇总'!$H$14,"超高行数",IF(E52&gt;='新集群汇总'!$H$15,"高行数",IF(E52&gt;='新集群汇总'!$H$16,"中行数","低行数")))</x:f>
        <x:v>低行数</x:v>
      </x:c>
      <x:c r="E52" s="43" t="n">
        <x:v>429181</x:v>
      </x:c>
      <x:c r="F52" s="46" t="n">
        <x:f>E52/100000000</x:f>
        <x:v>0.00429181</x:v>
      </x:c>
      <x:c r="G52" s="43" t="n">
        <x:v>2423663388</x:v>
      </x:c>
      <x:c r="H52" s="43" t="n">
        <x:v>209378988</x:v>
      </x:c>
      <x:c r="I52" s="49" t="n">
        <x:f>H52/1099511627776</x:f>
        <x:v>0.00019042908024857752</x:v>
      </x:c>
      <x:c r="J52" s="52" t="n">
        <x:f>H52/SUM($H$5:$H$63)</x:f>
        <x:v>0.0000010596689262124714</x:v>
      </x:c>
      <x:c r="K52" s="52" t="n">
        <x:f>SUM($J$5:J52)</x:f>
        <x:v>0.9999975489629039</x:v>
      </x:c>
      <x:c r="L52" s="49" t="n">
        <x:f>G52/1099511627776</x:f>
        <x:v>0.002204309010267025</x:v>
      </x:c>
      <x:c r="M52" s="46" t="n">
        <x:v>5647.18</x:v>
      </x:c>
      <x:c r="N52" s="46" t="n">
        <x:v>487.86</x:v>
      </x:c>
      <x:c r="O52" s="46" t="n">
        <x:v>11.58</x:v>
      </x:c>
      <x:c r="P52" s="34" t="str">
        <x:v>199.68 MiB</x:v>
      </x:c>
    </x:row>
    <x:row r="53">
      <x:c r="A53" s="37" t="n">
        <x:f>ROW()-4</x:f>
        <x:v>49</x:v>
      </x:c>
      <x:c r="B53" s="34" t="str">
        <x:v>nfs_log_local</x:v>
      </x:c>
      <x:c r="C53" s="37" t="str">
        <x:f>IF(I53*1024&gt;='新集群汇总'!$B$14,"超大表",IF(I53*1024&gt;='新集群汇总'!$B$15,"大表",IF(I53*1024&gt;='新集群汇总'!$B$16,"中表","小表")))</x:f>
        <x:v>小表</x:v>
      </x:c>
      <x:c r="D53" s="37" t="str">
        <x:f>IF(E53&gt;='新集群汇总'!$H$14,"超高行数",IF(E53&gt;='新集群汇总'!$H$15,"高行数",IF(E53&gt;='新集群汇总'!$H$16,"中行数","低行数")))</x:f>
        <x:v>低行数</x:v>
      </x:c>
      <x:c r="E53" s="43" t="n">
        <x:v>17720061</x:v>
      </x:c>
      <x:c r="F53" s="46" t="n">
        <x:f>E53/100000000</x:f>
        <x:v>0.17720061</x:v>
      </x:c>
      <x:c r="G53" s="43" t="n">
        <x:v>14526669478</x:v>
      </x:c>
      <x:c r="H53" s="43" t="n">
        <x:v>148712452</x:v>
      </x:c>
      <x:c r="I53" s="49" t="n">
        <x:f>H53/1099511627776</x:f>
        <x:v>0.0001352531871816609</x:v>
      </x:c>
      <x:c r="J53" s="52" t="n">
        <x:f>H53/SUM($H$5:$H$63)</x:f>
        <x:v>7.526350462887121e-7</x:v>
      </x:c>
      <x:c r="K53" s="52" t="n">
        <x:f>SUM($J$5:J53)</x:f>
        <x:v>0.9999983015979502</x:v>
      </x:c>
      <x:c r="L53" s="49" t="n">
        <x:f>G53/1099511627776</x:f>
        <x:v>0.013211928924647509</x:v>
      </x:c>
      <x:c r="M53" s="46" t="n">
        <x:v>819.79</x:v>
      </x:c>
      <x:c r="N53" s="46" t="n">
        <x:v>8.39</x:v>
      </x:c>
      <x:c r="O53" s="46" t="n">
        <x:v>97.68</x:v>
      </x:c>
      <x:c r="P53" s="34" t="str">
        <x:v>141.82 MiB</x:v>
      </x:c>
    </x:row>
    <x:row r="54">
      <x:c r="A54" s="37" t="n">
        <x:f>ROW()-4</x:f>
        <x:v>50</x:v>
      </x:c>
      <x:c r="B54" s="34" t="str">
        <x:v>imap_login_log_local</x:v>
      </x:c>
      <x:c r="C54" s="37" t="str">
        <x:f>IF(I54*1024&gt;='新集群汇总'!$B$14,"超大表",IF(I54*1024&gt;='新集群汇总'!$B$15,"大表",IF(I54*1024&gt;='新集群汇总'!$B$16,"中表","小表")))</x:f>
        <x:v>小表</x:v>
      </x:c>
      <x:c r="D54" s="37" t="str">
        <x:f>IF(E54&gt;='新集群汇总'!$H$14,"超高行数",IF(E54&gt;='新集群汇总'!$H$15,"高行数",IF(E54&gt;='新集群汇总'!$H$16,"中行数","低行数")))</x:f>
        <x:v>低行数</x:v>
      </x:c>
      <x:c r="E54" s="43" t="n">
        <x:v>4143007</x:v>
      </x:c>
      <x:c r="F54" s="46" t="n">
        <x:f>E54/100000000</x:f>
        <x:v>0.04143007</x:v>
      </x:c>
      <x:c r="G54" s="43" t="n">
        <x:v>3016350419</x:v>
      </x:c>
      <x:c r="H54" s="43" t="n">
        <x:v>140079869</x:v>
      </x:c>
      <x:c r="I54" s="49" t="n">
        <x:f>H54/1099511627776</x:f>
        <x:v>0.00012740189868054586</x:v>
      </x:c>
      <x:c r="J54" s="52" t="n">
        <x:f>H54/SUM($H$5:$H$63)</x:f>
        <x:v>7.089454667113667e-7</x:v>
      </x:c>
      <x:c r="K54" s="52" t="n">
        <x:f>SUM($J$5:J54)</x:f>
        <x:v>0.9999990105434169</x:v>
      </x:c>
      <x:c r="L54" s="49" t="n">
        <x:f>G54/1099511627776</x:f>
        <x:v>0.002743354724771052</x:v>
      </x:c>
      <x:c r="M54" s="46" t="n">
        <x:v>728.06</x:v>
      </x:c>
      <x:c r="N54" s="46" t="n">
        <x:v>33.81</x:v>
      </x:c>
      <x:c r="O54" s="46" t="n">
        <x:v>21.53</x:v>
      </x:c>
      <x:c r="P54" s="34" t="str">
        <x:v>133.59 MiB</x:v>
      </x:c>
    </x:row>
    <x:row r="55">
      <x:c r="A55" s="37" t="n">
        <x:f>ROW()-4</x:f>
        <x:v>51</x:v>
      </x:c>
      <x:c r="B55" s="34" t="str">
        <x:v>smtp_login_log_local</x:v>
      </x:c>
      <x:c r="C55" s="37" t="str">
        <x:f>IF(I55*1024&gt;='新集群汇总'!$B$14,"超大表",IF(I55*1024&gt;='新集群汇总'!$B$15,"大表",IF(I55*1024&gt;='新集群汇总'!$B$16,"中表","小表")))</x:f>
        <x:v>小表</x:v>
      </x:c>
      <x:c r="D55" s="37" t="str">
        <x:f>IF(E55&gt;='新集群汇总'!$H$14,"超高行数",IF(E55&gt;='新集群汇总'!$H$15,"高行数",IF(E55&gt;='新集群汇总'!$H$16,"中行数","低行数")))</x:f>
        <x:v>低行数</x:v>
      </x:c>
      <x:c r="E55" s="43" t="n">
        <x:v>2959778</x:v>
      </x:c>
      <x:c r="F55" s="46" t="n">
        <x:f>E55/100000000</x:f>
        <x:v>0.02959778</x:v>
      </x:c>
      <x:c r="G55" s="43" t="n">
        <x:v>2205608709</x:v>
      </x:c>
      <x:c r="H55" s="43" t="n">
        <x:v>94611129</x:v>
      </x:c>
      <x:c r="I55" s="49" t="n">
        <x:f>H55/1099511627776</x:f>
        <x:v>0.00008604832055425504</x:v>
      </x:c>
      <x:c r="J55" s="52" t="n">
        <x:f>H55/SUM($H$5:$H$63)</x:f>
        <x:v>4.788277679285546e-7</x:v>
      </x:c>
      <x:c r="K55" s="52" t="n">
        <x:f>SUM($J$5:J55)</x:f>
        <x:v>0.9999994893711848</x:v>
      </x:c>
      <x:c r="L55" s="49" t="n">
        <x:f>G55/1099511627776</x:f>
        <x:v>0.0020059894350197283</x:v>
      </x:c>
      <x:c r="M55" s="46" t="n">
        <x:v>745.19</x:v>
      </x:c>
      <x:c r="N55" s="46" t="n">
        <x:v>31.97</x:v>
      </x:c>
      <x:c r="O55" s="46" t="n">
        <x:v>23.31</x:v>
      </x:c>
      <x:c r="P55" s="34" t="str">
        <x:v>90.23 MiB</x:v>
      </x:c>
    </x:row>
    <x:row r="56">
      <x:c r="A56" s="37" t="n">
        <x:f>ROW()-4</x:f>
        <x:v>52</x:v>
      </x:c>
      <x:c r="B56" s="34" t="str">
        <x:v>db2_log_local</x:v>
      </x:c>
      <x:c r="C56" s="37" t="str">
        <x:f>IF(I56*1024&gt;='新集群汇总'!$B$14,"超大表",IF(I56*1024&gt;='新集群汇总'!$B$15,"大表",IF(I56*1024&gt;='新集群汇总'!$B$16,"中表","小表")))</x:f>
        <x:v>小表</x:v>
      </x:c>
      <x:c r="D56" s="37" t="str">
        <x:f>IF(E56&gt;='新集群汇总'!$H$14,"超高行数",IF(E56&gt;='新集群汇总'!$H$15,"高行数",IF(E56&gt;='新集群汇总'!$H$16,"中行数","低行数")))</x:f>
        <x:v>低行数</x:v>
      </x:c>
      <x:c r="E56" s="43" t="n">
        <x:v>1410331</x:v>
      </x:c>
      <x:c r="F56" s="46" t="n">
        <x:f>E56/100000000</x:f>
        <x:v>0.01410331</x:v>
      </x:c>
      <x:c r="G56" s="43" t="n">
        <x:v>1157117363</x:v>
      </x:c>
      <x:c r="H56" s="43" t="n">
        <x:v>35412988</x:v>
      </x:c>
      <x:c r="I56" s="49" t="n">
        <x:f>H56/1099511627776</x:f>
        <x:v>0.000032207924959948286</x:v>
      </x:c>
      <x:c r="J56" s="52" t="n">
        <x:f>H56/SUM($H$5:$H$63)</x:f>
        <x:v>1.7922544819986968e-7</x:v>
      </x:c>
      <x:c r="K56" s="52" t="n">
        <x:f>SUM($J$5:J56)</x:f>
        <x:v>0.9999996685966329</x:v>
      </x:c>
      <x:c r="L56" s="49" t="n">
        <x:f>G56/1099511627776</x:f>
        <x:v>0.0010523921109779621</x:v>
      </x:c>
      <x:c r="M56" s="46" t="n">
        <x:v>820.46</x:v>
      </x:c>
      <x:c r="N56" s="46" t="n">
        <x:v>25.11</x:v>
      </x:c>
      <x:c r="O56" s="46" t="n">
        <x:v>32.67</x:v>
      </x:c>
      <x:c r="P56" s="34" t="str">
        <x:v>33.77 MiB</x:v>
      </x:c>
    </x:row>
    <x:row r="57">
      <x:c r="A57" s="37" t="n">
        <x:f>ROW()-4</x:f>
        <x:v>53</x:v>
      </x:c>
      <x:c r="B57" s="34" t="str">
        <x:v>telnet_login_log_local</x:v>
      </x:c>
      <x:c r="C57" s="37" t="str">
        <x:f>IF(I57*1024&gt;='新集群汇总'!$B$14,"超大表",IF(I57*1024&gt;='新集群汇总'!$B$15,"大表",IF(I57*1024&gt;='新集群汇总'!$B$16,"中表","小表")))</x:f>
        <x:v>小表</x:v>
      </x:c>
      <x:c r="D57" s="37" t="str">
        <x:f>IF(E57&gt;='新集群汇总'!$H$14,"超高行数",IF(E57&gt;='新集群汇总'!$H$15,"高行数",IF(E57&gt;='新集群汇总'!$H$16,"中行数","低行数")))</x:f>
        <x:v>低行数</x:v>
      </x:c>
      <x:c r="E57" s="43" t="n">
        <x:v>658518</x:v>
      </x:c>
      <x:c r="F57" s="46" t="n">
        <x:f>E57/100000000</x:f>
        <x:v>0.00658518</x:v>
      </x:c>
      <x:c r="G57" s="43" t="n">
        <x:v>515091304</x:v>
      </x:c>
      <x:c r="H57" s="43" t="n">
        <x:v>32370054</x:v>
      </x:c>
      <x:c r="I57" s="49" t="n">
        <x:f>H57/1099511627776</x:f>
        <x:v>0.000029440392609103583</x:v>
      </x:c>
      <x:c r="J57" s="52" t="n">
        <x:f>H57/SUM($H$5:$H$63)</x:f>
        <x:v>1.6382513207877245e-7</x:v>
      </x:c>
      <x:c r="K57" s="52" t="n">
        <x:f>SUM($J$5:J57)</x:f>
        <x:v>0.999999832421765</x:v>
      </x:c>
      <x:c r="L57" s="49" t="n">
        <x:f>G57/1099511627776</x:f>
        <x:v>0.0004684728119173087</x:v>
      </x:c>
      <x:c r="M57" s="46" t="n">
        <x:v>782.2</x:v>
      </x:c>
      <x:c r="N57" s="46" t="n">
        <x:v>49.16</x:v>
      </x:c>
      <x:c r="O57" s="46" t="n">
        <x:v>15.91</x:v>
      </x:c>
      <x:c r="P57" s="34" t="str">
        <x:v>30.87 MiB</x:v>
      </x:c>
    </x:row>
    <x:row r="58">
      <x:c r="A58" s="37" t="n">
        <x:f>ROW()-4</x:f>
        <x:v>54</x:v>
      </x:c>
      <x:c r="B58" s="34" t="str">
        <x:v>ai_security_log_local</x:v>
      </x:c>
      <x:c r="C58" s="37" t="str">
        <x:f>IF(I58*1024&gt;='新集群汇总'!$B$14,"超大表",IF(I58*1024&gt;='新集群汇总'!$B$15,"大表",IF(I58*1024&gt;='新集群汇总'!$B$16,"中表","小表")))</x:f>
        <x:v>小表</x:v>
      </x:c>
      <x:c r="D58" s="37" t="str">
        <x:f>IF(E58&gt;='新集群汇总'!$H$14,"超高行数",IF(E58&gt;='新集群汇总'!$H$15,"高行数",IF(E58&gt;='新集群汇总'!$H$16,"中行数","低行数")))</x:f>
        <x:v>低行数</x:v>
      </x:c>
      <x:c r="E58" s="43" t="n">
        <x:v>26944</x:v>
      </x:c>
      <x:c r="F58" s="46" t="n">
        <x:f>E58/100000000</x:f>
        <x:v>0.00026944</x:v>
      </x:c>
      <x:c r="G58" s="43" t="n">
        <x:v>50366362</x:v>
      </x:c>
      <x:c r="H58" s="43" t="n">
        <x:v>12528846</x:v>
      </x:c>
      <x:c r="I58" s="49" t="n">
        <x:f>H58/1099511627776</x:f>
        <x:v>0.000011394919056328945</x:v>
      </x:c>
      <x:c r="J58" s="52" t="n">
        <x:f>H58/SUM($H$5:$H$63)</x:f>
        <x:v>6.340860138029427e-8</x:v>
      </x:c>
      <x:c r="K58" s="52" t="n">
        <x:f>SUM($J$5:J58)</x:f>
        <x:v>0.9999998958303664</x:v>
      </x:c>
      <x:c r="L58" s="49" t="n">
        <x:f>G58/1099511627776</x:f>
        <x:v>0.000045807939386577345</x:v>
      </x:c>
      <x:c r="M58" s="46" t="n">
        <x:v>1869.3</x:v>
      </x:c>
      <x:c r="N58" s="46" t="n">
        <x:v>465</x:v>
      </x:c>
      <x:c r="O58" s="46" t="n">
        <x:v>4.02</x:v>
      </x:c>
      <x:c r="P58" s="34" t="str">
        <x:v>11.95 MiB</x:v>
      </x:c>
    </x:row>
    <x:row r="59">
      <x:c r="A59" s="37" t="n">
        <x:f>ROW()-4</x:f>
        <x:v>55</x:v>
      </x:c>
      <x:c r="B59" s="34" t="str">
        <x:v>asset_log_local_old</x:v>
      </x:c>
      <x:c r="C59" s="37" t="str">
        <x:f>IF(I59*1024&gt;='新集群汇总'!$B$14,"超大表",IF(I59*1024&gt;='新集群汇总'!$B$15,"大表",IF(I59*1024&gt;='新集群汇总'!$B$16,"中表","小表")))</x:f>
        <x:v>小表</x:v>
      </x:c>
      <x:c r="D59" s="37" t="str">
        <x:f>IF(E59&gt;='新集群汇总'!$H$14,"超高行数",IF(E59&gt;='新集群汇总'!$H$15,"高行数",IF(E59&gt;='新集群汇总'!$H$16,"中行数","低行数")))</x:f>
        <x:v>低行数</x:v>
      </x:c>
      <x:c r="E59" s="43" t="n">
        <x:v>26001</x:v>
      </x:c>
      <x:c r="F59" s="46" t="n">
        <x:f>E59/100000000</x:f>
        <x:v>0.00026001</x:v>
      </x:c>
      <x:c r="G59" s="43" t="n">
        <x:v>169466558</x:v>
      </x:c>
      <x:c r="H59" s="43" t="n">
        <x:v>10974976</x:v>
      </x:c>
      <x:c r="I59" s="49" t="n">
        <x:f>H59/1099511627776</x:f>
        <x:v>0.000009981682524085045</x:v>
      </x:c>
      <x:c r="J59" s="52" t="n">
        <x:f>H59/SUM($H$5:$H$63)</x:f>
        <x:v>5.5544451447666964e-8</x:v>
      </x:c>
      <x:c r="K59" s="52" t="n">
        <x:f>SUM($J$5:J59)</x:f>
        <x:v>0.9999999513748179</x:v>
      </x:c>
      <x:c r="L59" s="49" t="n">
        <x:f>G59/1099511627776</x:f>
        <x:v>0.00015412893662869465</x:v>
      </x:c>
      <x:c r="M59" s="46" t="n">
        <x:v>6517.69</x:v>
      </x:c>
      <x:c r="N59" s="46" t="n">
        <x:v>422.1</x:v>
      </x:c>
      <x:c r="O59" s="46" t="n">
        <x:v>15.44</x:v>
      </x:c>
      <x:c r="P59" s="34" t="str">
        <x:v>10.47 MiB</x:v>
      </x:c>
    </x:row>
    <x:row r="60">
      <x:c r="A60" s="37" t="n">
        <x:f>ROW()-4</x:f>
        <x:v>56</x:v>
      </x:c>
      <x:c r="B60" s="34" t="str">
        <x:v>imap_log_local</x:v>
      </x:c>
      <x:c r="C60" s="37" t="str">
        <x:f>IF(I60*1024&gt;='新集群汇总'!$B$14,"超大表",IF(I60*1024&gt;='新集群汇总'!$B$15,"大表",IF(I60*1024&gt;='新集群汇总'!$B$16,"中表","小表")))</x:f>
        <x:v>小表</x:v>
      </x:c>
      <x:c r="D60" s="37" t="str">
        <x:f>IF(E60&gt;='新集群汇总'!$H$14,"超高行数",IF(E60&gt;='新集群汇总'!$H$15,"高行数",IF(E60&gt;='新集群汇总'!$H$16,"中行数","低行数")))</x:f>
        <x:v>低行数</x:v>
      </x:c>
      <x:c r="E60" s="43" t="n">
        <x:v>3896</x:v>
      </x:c>
      <x:c r="F60" s="46" t="n">
        <x:f>E60/100000000</x:f>
        <x:v>0.00003896</x:v>
      </x:c>
      <x:c r="G60" s="43" t="n">
        <x:v>36460689</x:v>
      </x:c>
      <x:c r="H60" s="43" t="n">
        <x:v>7833611</x:v>
      </x:c>
      <x:c r="I60" s="49" t="n">
        <x:f>H60/1099511627776</x:f>
        <x:v>0.00000712462770025013</x:v>
      </x:c>
      <x:c r="J60" s="52" t="n">
        <x:f>H60/SUM($H$5:$H$63)</x:f>
        <x:v>3.9645975157431765e-8</x:v>
      </x:c>
      <x:c r="K60" s="52" t="n">
        <x:f>SUM($J$5:J60)</x:f>
        <x:v>0.9999999910207931</x:v>
      </x:c>
      <x:c r="L60" s="49" t="n">
        <x:f>G60/1099511627776</x:f>
        <x:v>0.000033160803468490485</x:v>
      </x:c>
      <x:c r="M60" s="46" t="n">
        <x:v>9358.49</x:v>
      </x:c>
      <x:c r="N60" s="46" t="n">
        <x:v>2010.68</x:v>
      </x:c>
      <x:c r="O60" s="46" t="n">
        <x:v>4.65</x:v>
      </x:c>
      <x:c r="P60" s="34" t="str">
        <x:v>7.47 MiB</x:v>
      </x:c>
    </x:row>
    <x:row r="61">
      <x:c r="A61" s="37" t="n">
        <x:f>ROW()-4</x:f>
        <x:v>57</x:v>
      </x:c>
      <x:c r="B61" s="34" t="str">
        <x:v>sas_log_local</x:v>
      </x:c>
      <x:c r="C61" s="37" t="str">
        <x:f>IF(I61*1024&gt;='新集群汇总'!$B$14,"超大表",IF(I61*1024&gt;='新集群汇总'!$B$15,"大表",IF(I61*1024&gt;='新集群汇总'!$B$16,"中表","小表")))</x:f>
        <x:v>小表</x:v>
      </x:c>
      <x:c r="D61" s="37" t="str">
        <x:f>IF(E61&gt;='新集群汇总'!$H$14,"超高行数",IF(E61&gt;='新集群汇总'!$H$15,"高行数",IF(E61&gt;='新集群汇总'!$H$16,"中行数","低行数")))</x:f>
        <x:v>低行数</x:v>
      </x:c>
      <x:c r="E61" s="43" t="n">
        <x:v>246</x:v>
      </x:c>
      <x:c r="F61" s="46" t="n">
        <x:f>E61/100000000</x:f>
        <x:v>0.00000246</x:v>
      </x:c>
      <x:c r="G61" s="43" t="n">
        <x:v>352925</x:v>
      </x:c>
      <x:c r="H61" s="43" t="n">
        <x:v>986347</x:v>
      </x:c>
      <x:c r="I61" s="49" t="n">
        <x:f>H61/1099511627776</x:f>
        <x:v>8.970773706096224e-7</x:v>
      </x:c>
      <x:c r="J61" s="52" t="n">
        <x:f>H61/SUM($H$5:$H$63)</x:f>
        <x:v>4.991910966552635e-9</x:v>
      </x:c>
      <x:c r="K61" s="52" t="n">
        <x:f>SUM($J$5:J61)</x:f>
        <x:v>0.9999999960127041</x:v>
      </x:c>
      <x:c r="L61" s="49" t="n">
        <x:f>G61/1099511627776</x:f>
        <x:v>3.209834176232107e-7</x:v>
      </x:c>
      <x:c r="M61" s="46" t="n">
        <x:v>1434.65</x:v>
      </x:c>
      <x:c r="N61" s="46" t="n">
        <x:v>4009.54</x:v>
      </x:c>
      <x:c r="O61" s="46" t="n">
        <x:v>0.36</x:v>
      </x:c>
      <x:c r="P61" s="34" t="str">
        <x:v>963.23 KiB</x:v>
      </x:c>
    </x:row>
    <x:row r="62">
      <x:c r="A62" s="37" t="n">
        <x:f>ROW()-4</x:f>
        <x:v>58</x:v>
      </x:c>
      <x:c r="B62" s="34" t="str">
        <x:v>ztna_user_security_log_local</x:v>
      </x:c>
      <x:c r="C62" s="37" t="str">
        <x:f>IF(I62*1024&gt;='新集群汇总'!$B$14,"超大表",IF(I62*1024&gt;='新集群汇总'!$B$15,"大表",IF(I62*1024&gt;='新集群汇总'!$B$16,"中表","小表")))</x:f>
        <x:v>小表</x:v>
      </x:c>
      <x:c r="D62" s="37" t="str">
        <x:f>IF(E62&gt;='新集群汇总'!$H$14,"超高行数",IF(E62&gt;='新集群汇总'!$H$15,"高行数",IF(E62&gt;='新集群汇总'!$H$16,"中行数","低行数")))</x:f>
        <x:v>低行数</x:v>
      </x:c>
      <x:c r="E62" s="43" t="n">
        <x:v>1603</x:v>
      </x:c>
      <x:c r="F62" s="46" t="n">
        <x:f>E62/100000000</x:f>
        <x:v>0.00001603</x:v>
      </x:c>
      <x:c r="G62" s="43" t="n">
        <x:v>3719973</x:v>
      </x:c>
      <x:c r="H62" s="43" t="n">
        <x:v>787530</x:v>
      </x:c>
      <x:c r="I62" s="49" t="n">
        <x:f>H62/1099511627776</x:f>
        <x:v>7.162543624872342e-7</x:v>
      </x:c>
      <x:c r="J62" s="52" t="n">
        <x:f>H62/SUM($H$5:$H$63)</x:f>
        <x:v>3.985696355835418e-9</x:v>
      </x:c>
      <x:c r="K62" s="52" t="n">
        <x:f>SUM($J$5:J62)</x:f>
        <x:v>0.9999999999984004</x:v>
      </x:c>
      <x:c r="L62" s="49" t="n">
        <x:f>G62/1099511627776</x:f>
        <x:v>0.000003383295734238345</x:v>
      </x:c>
      <x:c r="M62" s="46" t="n">
        <x:v>2320.63</x:v>
      </x:c>
      <x:c r="N62" s="46" t="n">
        <x:v>491.29</x:v>
      </x:c>
      <x:c r="O62" s="46" t="n">
        <x:v>4.72</x:v>
      </x:c>
      <x:c r="P62" s="34" t="str">
        <x:v>769.07 KiB</x:v>
      </x:c>
    </x:row>
    <x:row r="63">
      <x:c r="A63" s="38" t="n">
        <x:f>ROW()-4</x:f>
        <x:v>59</x:v>
      </x:c>
      <x:c r="B63" s="35" t="str">
        <x:v>black_write_node_local</x:v>
      </x:c>
      <x:c r="C63" s="38" t="str">
        <x:f>IF(I63*1024&gt;='新集群汇总'!$B$14,"超大表",IF(I63*1024&gt;='新集群汇总'!$B$15,"大表",IF(I63*1024&gt;='新集群汇总'!$B$16,"中表","小表")))</x:f>
        <x:v>小表</x:v>
      </x:c>
      <x:c r="D63" s="38" t="str">
        <x:f>IF(E63&gt;='新集群汇总'!$H$14,"超高行数",IF(E63&gt;='新集群汇总'!$H$15,"高行数",IF(E63&gt;='新集群汇总'!$H$16,"中行数","低行数")))</x:f>
        <x:v>低行数</x:v>
      </x:c>
      <x:c r="E63" s="44" t="n">
        <x:v>12</x:v>
      </x:c>
      <x:c r="F63" s="47" t="n">
        <x:f>E63/100000000</x:f>
        <x:v>1.2e-7</x:v>
      </x:c>
      <x:c r="G63" s="44" t="n">
        <x:v>524</x:v>
      </x:c>
      <x:c r="H63" s="44" t="n">
        <x:v>316</x:v>
      </x:c>
      <x:c r="I63" s="50" t="n">
        <x:f>H63/1099511627776</x:f>
        <x:v>2.874003257602453e-10</x:v>
      </x:c>
      <x:c r="J63" s="53" t="n">
        <x:f>H63/SUM($H$5:$H$63)</x:f>
        <x:v>1.5992788191484665e-12</x:v>
      </x:c>
      <x:c r="K63" s="53" t="n">
        <x:f>SUM($J$5:J63)</x:f>
        <x:v>0.9999999999999997</x:v>
      </x:c>
      <x:c r="L63" s="50" t="n">
        <x:f>G63/1099511627776</x:f>
        <x:v>4.765752237290144e-10</x:v>
      </x:c>
      <x:c r="M63" s="47" t="n">
        <x:v>43.67</x:v>
      </x:c>
      <x:c r="N63" s="47" t="n">
        <x:v>26.33</x:v>
      </x:c>
      <x:c r="O63" s="47" t="n">
        <x:v>1.66</x:v>
      </x:c>
      <x:c r="P63" s="35" t="str">
        <x:v>316.00 B</x:v>
      </x:c>
    </x:row>
  </x:sheetData>
  <x:mergeCells>
    <x:mergeCell ref="A1:P1"/>
    <x:mergeCell ref="A2:P2"/>
  </x:mergeCells>
  <x:conditionalFormatting sqref="C5:C63">
    <x:cfRule type="containsText" dxfId="0" priority="1" operator="containsText" text="大表"/>
    <x:cfRule type="containsText" dxfId="1" priority="2" operator="containsText" text="超大表"/>
    <x:cfRule type="containsText" dxfId="2" priority="3" operator="containsText" text="中表"/>
    <x:cfRule type="containsText" dxfId="3" priority="4" operator="containsText" text="小表"/>
  </x:conditionalFormatting>
  <x:conditionalFormatting sqref="J5:J63">
    <x:cfRule type="dataBar" priority="5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{29A9ACBA-CF6B-FEB1-81E7-C1DB5775CDB1}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2cba818660549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29A9ACBA-CF6B-FEB1-81E7-C1DB5775CDB1}">
            <x14:dataBar gradient="1">
              <x14:cfvo type="min"/>
              <x14:cfvo type="max"/>
              <x14:fillColor rgb="FF2F75B5"/>
            </x14:dataBar>
          </x14:cfRule>
          <xm:sqref>J5:J63</xm:sqref>
        </x14:conditionalFormatting>
      </x14:conditionalFormattings>
    </x:ext>
  </x:extLst>
</x:worksheet>
</file>